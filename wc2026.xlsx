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4"/>
    <sheet state="visible" name="Results" sheetId="2" r:id="rId5"/>
    <sheet state="visible" name="Games" sheetId="3" r:id="rId6"/>
    <sheet state="visible" name="Daithi" sheetId="4" r:id="rId7"/>
    <sheet state="visible" name="Kian" sheetId="5" r:id="rId8"/>
    <sheet state="visible" name="Mick" sheetId="6" r:id="rId9"/>
    <sheet state="visible" name="Owen" sheetId="7" r:id="rId10"/>
    <sheet state="visible" name="Reddy" sheetId="8" r:id="rId11"/>
    <sheet state="visible" name="Garret" sheetId="9" r:id="rId12"/>
    <sheet state="visible" name="Mac" sheetId="10" r:id="rId13"/>
    <sheet state="visible" name="Noonan " sheetId="11" r:id="rId14"/>
    <sheet state="visible" name="Breakdown" sheetId="12" r:id="rId15"/>
  </sheets>
  <definedNames>
    <definedName hidden="1" localSheetId="0" name="_xlnm._FilterDatabase">Table!$A$1:$Z$9</definedName>
    <definedName hidden="1" localSheetId="11" name="_xlnm._FilterDatabase">Breakdown!$A$1:$AE$9</definedName>
  </definedNames>
  <calcPr/>
</workbook>
</file>

<file path=xl/sharedStrings.xml><?xml version="1.0" encoding="utf-8"?>
<sst xmlns="http://schemas.openxmlformats.org/spreadsheetml/2006/main" count="344" uniqueCount="173">
  <si>
    <t>Name</t>
  </si>
  <si>
    <t>Points</t>
  </si>
  <si>
    <t>Noonan</t>
  </si>
  <si>
    <t>Daithi</t>
  </si>
  <si>
    <t>Mick</t>
  </si>
  <si>
    <t>Owen</t>
  </si>
  <si>
    <t>Kian</t>
  </si>
  <si>
    <t>Mac</t>
  </si>
  <si>
    <t>Garret</t>
  </si>
  <si>
    <t>Reddy</t>
  </si>
  <si>
    <t>Group A</t>
  </si>
  <si>
    <t>Mexico</t>
  </si>
  <si>
    <t>South Africa</t>
  </si>
  <si>
    <t>South Korea</t>
  </si>
  <si>
    <t>Czech Republic</t>
  </si>
  <si>
    <t>Group B</t>
  </si>
  <si>
    <t>Canada</t>
  </si>
  <si>
    <t>Bosnia and Herzegovina</t>
  </si>
  <si>
    <t>Group D</t>
  </si>
  <si>
    <t>USA</t>
  </si>
  <si>
    <t>Paraguay</t>
  </si>
  <si>
    <t>Qatar</t>
  </si>
  <si>
    <t>Switzerland</t>
  </si>
  <si>
    <t>Group C</t>
  </si>
  <si>
    <t>Brazil</t>
  </si>
  <si>
    <t>Morocco</t>
  </si>
  <si>
    <t>Haiti</t>
  </si>
  <si>
    <t>Scotland</t>
  </si>
  <si>
    <t>Australia</t>
  </si>
  <si>
    <t>Türkiye</t>
  </si>
  <si>
    <t>Group E</t>
  </si>
  <si>
    <t>Germany</t>
  </si>
  <si>
    <t>Curaçao</t>
  </si>
  <si>
    <t>Group F</t>
  </si>
  <si>
    <t>Netherlands</t>
  </si>
  <si>
    <t>Japan</t>
  </si>
  <si>
    <t>Ivory Coast</t>
  </si>
  <si>
    <t>Ecuador</t>
  </si>
  <si>
    <t>Sweden</t>
  </si>
  <si>
    <t>Tunisia</t>
  </si>
  <si>
    <t>Group H</t>
  </si>
  <si>
    <t>Spain</t>
  </si>
  <si>
    <t>Cape Verde</t>
  </si>
  <si>
    <t>Group G</t>
  </si>
  <si>
    <t>Belgium</t>
  </si>
  <si>
    <t>Egypt</t>
  </si>
  <si>
    <t>Saudi Arabia</t>
  </si>
  <si>
    <t>Uruguay</t>
  </si>
  <si>
    <t>Iran</t>
  </si>
  <si>
    <t>New Zealand</t>
  </si>
  <si>
    <t>Group I</t>
  </si>
  <si>
    <t>France</t>
  </si>
  <si>
    <t>Senegal</t>
  </si>
  <si>
    <t>Iraq</t>
  </si>
  <si>
    <t>Norway</t>
  </si>
  <si>
    <t>Group J</t>
  </si>
  <si>
    <t>Argentina</t>
  </si>
  <si>
    <t>Algeria</t>
  </si>
  <si>
    <t>Austria</t>
  </si>
  <si>
    <t>Jordan</t>
  </si>
  <si>
    <t>Group K</t>
  </si>
  <si>
    <t>Portugal</t>
  </si>
  <si>
    <t>Congo DR</t>
  </si>
  <si>
    <t>Group L</t>
  </si>
  <si>
    <t>England</t>
  </si>
  <si>
    <t>Croatia</t>
  </si>
  <si>
    <t>Ghana</t>
  </si>
  <si>
    <t>Panama</t>
  </si>
  <si>
    <t>Uzbekistan</t>
  </si>
  <si>
    <t>Colombia</t>
  </si>
  <si>
    <t>Czechia</t>
  </si>
  <si>
    <t>Turkey</t>
  </si>
  <si>
    <t>DR Congo</t>
  </si>
  <si>
    <t>Round of 32 (M1)</t>
  </si>
  <si>
    <t>Winner Group A</t>
  </si>
  <si>
    <t>3rd Place Group C/D/E</t>
  </si>
  <si>
    <t>Round of 32 (M2)</t>
  </si>
  <si>
    <t>Runner-up Group A</t>
  </si>
  <si>
    <t>Runner-up Group B</t>
  </si>
  <si>
    <t>Round of 32 (M3)</t>
  </si>
  <si>
    <t>Winner Group C</t>
  </si>
  <si>
    <t>Runner-up Group D</t>
  </si>
  <si>
    <t>Round of 32 (M4)</t>
  </si>
  <si>
    <t>Winner Group E</t>
  </si>
  <si>
    <t>3rd Place Group A/B/C</t>
  </si>
  <si>
    <t>Round of 32 (M5)</t>
  </si>
  <si>
    <t>Winner Group F</t>
  </si>
  <si>
    <t>Runner-up Group C</t>
  </si>
  <si>
    <t>Round of 32 (M6)</t>
  </si>
  <si>
    <t>Winner Group B</t>
  </si>
  <si>
    <t>3rd Place Group E/F/G</t>
  </si>
  <si>
    <t>Round of 32 (M7)</t>
  </si>
  <si>
    <t>Winner Group G</t>
  </si>
  <si>
    <t>Runner-up Group H</t>
  </si>
  <si>
    <t>Round of 32 (M8)</t>
  </si>
  <si>
    <t>Winner Group D</t>
  </si>
  <si>
    <t>3rd Place Group I/J/K</t>
  </si>
  <si>
    <t>Round of 32 (M9)</t>
  </si>
  <si>
    <t>Winner Group H</t>
  </si>
  <si>
    <t>Runner-up Group G</t>
  </si>
  <si>
    <t>Round of 32 (M10)</t>
  </si>
  <si>
    <t>Winner Group I</t>
  </si>
  <si>
    <t>3rd Place Group B/C/F</t>
  </si>
  <si>
    <t>Round of 32 (M11)</t>
  </si>
  <si>
    <t>Winner Group J</t>
  </si>
  <si>
    <t>Runner-up Group K</t>
  </si>
  <si>
    <t>Round of 32 (M12)</t>
  </si>
  <si>
    <t>Winner Group K</t>
  </si>
  <si>
    <t>Runner-up Group J</t>
  </si>
  <si>
    <t>Round of 32 (M13)</t>
  </si>
  <si>
    <t>Winner Group L</t>
  </si>
  <si>
    <t>3rd Place Group A/D/H</t>
  </si>
  <si>
    <t>Round of 32 (M14)</t>
  </si>
  <si>
    <t>Runner-up Group E</t>
  </si>
  <si>
    <t>Round of 32 (M15)</t>
  </si>
  <si>
    <t>Runner-up Group I</t>
  </si>
  <si>
    <t>Round of 32 (M16)</t>
  </si>
  <si>
    <t>Runner-up Group L</t>
  </si>
  <si>
    <t>Round of 16 (R1)</t>
  </si>
  <si>
    <t>Winner Match 73</t>
  </si>
  <si>
    <t>Winner Match 74</t>
  </si>
  <si>
    <t>Round of 16 (R2)</t>
  </si>
  <si>
    <t>Winner Match 75</t>
  </si>
  <si>
    <t>Winner Match 76</t>
  </si>
  <si>
    <t>Round of 16 (R3)</t>
  </si>
  <si>
    <t>Winner Match 77</t>
  </si>
  <si>
    <t>Winner Match 78</t>
  </si>
  <si>
    <t>Round of 16 (R4)</t>
  </si>
  <si>
    <t>Winner Match 79</t>
  </si>
  <si>
    <t>Winner Match 80</t>
  </si>
  <si>
    <t>Round of 16 (R5)</t>
  </si>
  <si>
    <t>Winner Match 81</t>
  </si>
  <si>
    <t>Winner Match 82</t>
  </si>
  <si>
    <t>Round of 16 (R6)</t>
  </si>
  <si>
    <t>Winner Match 83</t>
  </si>
  <si>
    <t>Winner Match 84</t>
  </si>
  <si>
    <t>Round of 16 (R7)</t>
  </si>
  <si>
    <t>Winner Match 85</t>
  </si>
  <si>
    <t>Winner Match 86</t>
  </si>
  <si>
    <t>Round of 16 (R8)</t>
  </si>
  <si>
    <t>Winner Match 87</t>
  </si>
  <si>
    <t>Winner Match 88</t>
  </si>
  <si>
    <t>Quarter-final (Q1)</t>
  </si>
  <si>
    <t>Winner Match 89</t>
  </si>
  <si>
    <t>Winner Match 90</t>
  </si>
  <si>
    <t>Quarter-final (Q2)</t>
  </si>
  <si>
    <t>Winner Match 91</t>
  </si>
  <si>
    <t>Winner Match 92</t>
  </si>
  <si>
    <t>Quarter-final (Q3)</t>
  </si>
  <si>
    <t>Winner Match 93</t>
  </si>
  <si>
    <t>Winner Match 94</t>
  </si>
  <si>
    <t>Quarter-final (Q4)</t>
  </si>
  <si>
    <t>Winner Match 95</t>
  </si>
  <si>
    <t>Winner Match 96</t>
  </si>
  <si>
    <t>Semi-final (S1)</t>
  </si>
  <si>
    <t>Winner Match 97</t>
  </si>
  <si>
    <t>Winner Match 98</t>
  </si>
  <si>
    <t>Semi-final (S2)</t>
  </si>
  <si>
    <t>Winner Match 99</t>
  </si>
  <si>
    <t>Winner Match 100</t>
  </si>
  <si>
    <t>Third-place Match</t>
  </si>
  <si>
    <t>Loser Match 101</t>
  </si>
  <si>
    <t>Loser Match 102</t>
  </si>
  <si>
    <t>Final</t>
  </si>
  <si>
    <t>Winner Match 101</t>
  </si>
  <si>
    <t>Winner Match 102</t>
  </si>
  <si>
    <t>Group Stage Points</t>
  </si>
  <si>
    <t>Last 32 Points</t>
  </si>
  <si>
    <t>Last 16 Points</t>
  </si>
  <si>
    <t>Quarter Final Points</t>
  </si>
  <si>
    <t>Semi Final Onwards Points</t>
  </si>
  <si>
    <t>Total</t>
  </si>
  <si>
    <t xml:space="preserve">Mac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</si>
</sst>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hh:mm"/>
    <numFmt numFmtId="166" formatCode="dd-mmm-yyyy"/>
  </numFmts>
  <fonts count="8">
    <font>
      <sz val="10.0"/>
      <color rgb="FF000000"/>
      <name val="Arial"/>
    </font>
    <font>
      <b/>
      <sz val="24.0"/>
    </font>
    <font>
      <sz val="24.0"/>
    </font>
    <font>
      <b/>
      <sz val="18.0"/>
    </font>
    <font>
      <name val="Calibri"/>
    </font>
    <font>
      <name val="Arial"/>
    </font>
    <font/>
    <font>
      <b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 vertical="bottom"/>
    </xf>
    <xf borderId="0" fillId="0" fontId="5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6" xfId="0" applyAlignment="1" applyFont="1" applyNumberFormat="1">
      <alignment horizontal="right"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6" numFmtId="164" xfId="0" applyFont="1" applyNumberFormat="1"/>
    <xf borderId="0" fillId="0" fontId="6" numFmtId="165" xfId="0" applyFont="1" applyNumberFormat="1"/>
    <xf borderId="0" fillId="0" fontId="6" numFmtId="166" xfId="0" applyFont="1" applyNumberForma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1.13"/>
  </cols>
  <sheetData>
    <row r="1">
      <c r="A1" s="1" t="s">
        <v>0</v>
      </c>
      <c r="B1" s="1" t="s">
        <v>1</v>
      </c>
    </row>
    <row r="2">
      <c r="A2" s="2" t="s">
        <v>2</v>
      </c>
      <c r="B2" s="3">
        <f>SUM('Noonan '!L:L)</f>
        <v>28</v>
      </c>
    </row>
    <row r="3">
      <c r="A3" s="2" t="s">
        <v>3</v>
      </c>
      <c r="B3" s="3">
        <f>SUM(Daithi!L:L)</f>
        <v>27</v>
      </c>
    </row>
    <row r="4">
      <c r="A4" s="2" t="s">
        <v>4</v>
      </c>
      <c r="B4" s="3">
        <f>SUM(Mick!L:L)</f>
        <v>26</v>
      </c>
    </row>
    <row r="5">
      <c r="A5" s="2" t="s">
        <v>5</v>
      </c>
      <c r="B5" s="3">
        <f>SUM(Owen!L:L)</f>
        <v>25</v>
      </c>
    </row>
    <row r="6">
      <c r="A6" s="2" t="s">
        <v>6</v>
      </c>
      <c r="B6" s="3">
        <f>SUM(Kian!L:L)</f>
        <v>25</v>
      </c>
    </row>
    <row r="7">
      <c r="A7" s="2" t="s">
        <v>7</v>
      </c>
      <c r="B7" s="3">
        <f>SUM(Mac!L:L)</f>
        <v>24</v>
      </c>
    </row>
    <row r="8">
      <c r="A8" s="2" t="s">
        <v>8</v>
      </c>
      <c r="B8" s="3">
        <f>SUM(Garret!L:L)</f>
        <v>20</v>
      </c>
    </row>
    <row r="9">
      <c r="A9" s="2" t="s">
        <v>9</v>
      </c>
      <c r="B9" s="3">
        <f>SUM(Reddy!L:L)</f>
        <v>19</v>
      </c>
    </row>
    <row r="11">
      <c r="A11" s="4"/>
    </row>
  </sheetData>
  <autoFilter ref="$A$1:$Z$9">
    <sortState ref="A1:Z9">
      <sortCondition descending="1" ref="B1:B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 t="shared" ref="A1:A104" si="1">weekday(B1)</f>
        <v>5</v>
      </c>
      <c r="B1" s="6">
        <v>46184.0</v>
      </c>
      <c r="C1" s="7">
        <v>0.8333333333333334</v>
      </c>
      <c r="D1" s="8" t="s">
        <v>10</v>
      </c>
      <c r="E1" s="8" t="s">
        <v>11</v>
      </c>
      <c r="F1" s="9">
        <v>2.0</v>
      </c>
      <c r="G1" s="9">
        <v>0.0</v>
      </c>
      <c r="H1" s="8" t="s">
        <v>12</v>
      </c>
      <c r="I1" t="str">
        <f t="shared" ref="I1:I104" si="2">F1&amp;"-"&amp;G1</f>
        <v>2-0</v>
      </c>
      <c r="J1">
        <f t="shared" ref="J1:J104" si="3">F1-G1</f>
        <v>2</v>
      </c>
    </row>
    <row r="2">
      <c r="A2" s="5">
        <f t="shared" si="1"/>
        <v>6</v>
      </c>
      <c r="B2" s="6">
        <v>46185.0</v>
      </c>
      <c r="C2" s="7">
        <v>0.125</v>
      </c>
      <c r="D2" s="8" t="s">
        <v>10</v>
      </c>
      <c r="E2" s="8" t="s">
        <v>13</v>
      </c>
      <c r="F2" s="9">
        <v>2.0</v>
      </c>
      <c r="G2" s="9">
        <v>1.0</v>
      </c>
      <c r="H2" s="8" t="s">
        <v>14</v>
      </c>
      <c r="I2" t="str">
        <f t="shared" si="2"/>
        <v>2-1</v>
      </c>
      <c r="J2">
        <f t="shared" si="3"/>
        <v>1</v>
      </c>
    </row>
    <row r="3">
      <c r="A3" s="5">
        <f t="shared" si="1"/>
        <v>6</v>
      </c>
      <c r="B3" s="6">
        <v>46185.0</v>
      </c>
      <c r="C3" s="7">
        <v>0.8333333333333334</v>
      </c>
      <c r="D3" s="8" t="s">
        <v>15</v>
      </c>
      <c r="E3" s="8" t="s">
        <v>16</v>
      </c>
      <c r="F3" s="9">
        <v>1.0</v>
      </c>
      <c r="G3" s="9">
        <v>1.0</v>
      </c>
      <c r="H3" s="8" t="s">
        <v>17</v>
      </c>
      <c r="I3" t="str">
        <f t="shared" si="2"/>
        <v>1-1</v>
      </c>
      <c r="J3">
        <f t="shared" si="3"/>
        <v>0</v>
      </c>
    </row>
    <row r="4">
      <c r="A4" s="5">
        <f t="shared" si="1"/>
        <v>7</v>
      </c>
      <c r="B4" s="6">
        <v>46186.0</v>
      </c>
      <c r="C4" s="7">
        <v>0.08333333333333333</v>
      </c>
      <c r="D4" s="8" t="s">
        <v>18</v>
      </c>
      <c r="E4" s="8" t="s">
        <v>19</v>
      </c>
      <c r="F4" s="9">
        <v>4.0</v>
      </c>
      <c r="G4" s="9">
        <v>1.0</v>
      </c>
      <c r="H4" s="8" t="s">
        <v>20</v>
      </c>
      <c r="I4" t="str">
        <f t="shared" si="2"/>
        <v>4-1</v>
      </c>
      <c r="J4">
        <f t="shared" si="3"/>
        <v>3</v>
      </c>
    </row>
    <row r="5">
      <c r="A5" s="5">
        <f t="shared" si="1"/>
        <v>7</v>
      </c>
      <c r="B5" s="6">
        <v>46186.0</v>
      </c>
      <c r="C5" s="7">
        <v>0.8333333333333334</v>
      </c>
      <c r="D5" s="8" t="s">
        <v>15</v>
      </c>
      <c r="E5" s="8" t="s">
        <v>21</v>
      </c>
      <c r="F5" s="9">
        <v>1.0</v>
      </c>
      <c r="G5" s="9">
        <v>1.0</v>
      </c>
      <c r="H5" s="8" t="s">
        <v>22</v>
      </c>
      <c r="I5" t="str">
        <f t="shared" si="2"/>
        <v>1-1</v>
      </c>
      <c r="J5">
        <f t="shared" si="3"/>
        <v>0</v>
      </c>
    </row>
    <row r="6">
      <c r="A6" s="5">
        <f t="shared" si="1"/>
        <v>7</v>
      </c>
      <c r="B6" s="6">
        <v>46186.0</v>
      </c>
      <c r="C6" s="7">
        <v>0.9583333333333334</v>
      </c>
      <c r="D6" s="8" t="s">
        <v>23</v>
      </c>
      <c r="E6" s="8" t="s">
        <v>24</v>
      </c>
      <c r="F6" s="9">
        <v>1.0</v>
      </c>
      <c r="G6" s="9">
        <v>1.0</v>
      </c>
      <c r="H6" s="8" t="s">
        <v>25</v>
      </c>
      <c r="I6" t="str">
        <f t="shared" si="2"/>
        <v>1-1</v>
      </c>
      <c r="J6">
        <f t="shared" si="3"/>
        <v>0</v>
      </c>
    </row>
    <row r="7">
      <c r="A7" s="5">
        <f t="shared" si="1"/>
        <v>1</v>
      </c>
      <c r="B7" s="6">
        <v>46187.0</v>
      </c>
      <c r="C7" s="7">
        <v>0.08333333333333333</v>
      </c>
      <c r="D7" s="8" t="s">
        <v>23</v>
      </c>
      <c r="E7" s="8" t="s">
        <v>26</v>
      </c>
      <c r="F7" s="9">
        <v>0.0</v>
      </c>
      <c r="G7" s="9">
        <v>1.0</v>
      </c>
      <c r="H7" s="8" t="s">
        <v>27</v>
      </c>
      <c r="I7" t="str">
        <f t="shared" si="2"/>
        <v>0-1</v>
      </c>
      <c r="J7">
        <f t="shared" si="3"/>
        <v>-1</v>
      </c>
    </row>
    <row r="8">
      <c r="A8" s="5">
        <f t="shared" si="1"/>
        <v>1</v>
      </c>
      <c r="B8" s="6">
        <v>46187.0</v>
      </c>
      <c r="C8" s="7">
        <v>0.20833333333333334</v>
      </c>
      <c r="D8" s="8" t="s">
        <v>18</v>
      </c>
      <c r="E8" s="8" t="s">
        <v>28</v>
      </c>
      <c r="F8" s="9">
        <v>2.0</v>
      </c>
      <c r="G8" s="9">
        <v>0.0</v>
      </c>
      <c r="H8" s="8" t="s">
        <v>29</v>
      </c>
      <c r="I8" t="str">
        <f t="shared" si="2"/>
        <v>2-0</v>
      </c>
      <c r="J8">
        <f t="shared" si="3"/>
        <v>2</v>
      </c>
    </row>
    <row r="9">
      <c r="A9" s="5">
        <f t="shared" si="1"/>
        <v>1</v>
      </c>
      <c r="B9" s="6">
        <v>46187.0</v>
      </c>
      <c r="C9" s="7">
        <v>0.75</v>
      </c>
      <c r="D9" s="8" t="s">
        <v>30</v>
      </c>
      <c r="E9" s="8" t="s">
        <v>31</v>
      </c>
      <c r="F9" s="9">
        <v>7.0</v>
      </c>
      <c r="G9" s="9">
        <v>1.0</v>
      </c>
      <c r="H9" s="8" t="s">
        <v>32</v>
      </c>
      <c r="I9" t="str">
        <f t="shared" si="2"/>
        <v>7-1</v>
      </c>
      <c r="J9">
        <f t="shared" si="3"/>
        <v>6</v>
      </c>
    </row>
    <row r="10">
      <c r="A10" s="5">
        <f t="shared" si="1"/>
        <v>1</v>
      </c>
      <c r="B10" s="6">
        <v>46187.0</v>
      </c>
      <c r="C10" s="7">
        <v>0.875</v>
      </c>
      <c r="D10" s="8" t="s">
        <v>33</v>
      </c>
      <c r="E10" s="8" t="s">
        <v>34</v>
      </c>
      <c r="F10" s="9">
        <v>2.0</v>
      </c>
      <c r="G10" s="9">
        <v>2.0</v>
      </c>
      <c r="H10" s="8" t="s">
        <v>35</v>
      </c>
      <c r="I10" t="str">
        <f t="shared" si="2"/>
        <v>2-2</v>
      </c>
      <c r="J10">
        <f t="shared" si="3"/>
        <v>0</v>
      </c>
    </row>
    <row r="11">
      <c r="A11" s="5">
        <f t="shared" si="1"/>
        <v>2</v>
      </c>
      <c r="B11" s="6">
        <v>46188.0</v>
      </c>
      <c r="C11" s="7">
        <v>0.0</v>
      </c>
      <c r="D11" s="8" t="s">
        <v>30</v>
      </c>
      <c r="E11" s="8" t="s">
        <v>36</v>
      </c>
      <c r="F11" s="9">
        <v>1.0</v>
      </c>
      <c r="G11" s="9">
        <v>0.0</v>
      </c>
      <c r="H11" s="8" t="s">
        <v>37</v>
      </c>
      <c r="I11" t="str">
        <f t="shared" si="2"/>
        <v>1-0</v>
      </c>
      <c r="J11">
        <f t="shared" si="3"/>
        <v>1</v>
      </c>
    </row>
    <row r="12">
      <c r="A12" s="5">
        <f t="shared" si="1"/>
        <v>2</v>
      </c>
      <c r="B12" s="6">
        <v>46188.0</v>
      </c>
      <c r="C12" s="7">
        <v>0.125</v>
      </c>
      <c r="D12" s="8" t="s">
        <v>33</v>
      </c>
      <c r="E12" s="8" t="s">
        <v>38</v>
      </c>
      <c r="F12" s="9">
        <v>5.0</v>
      </c>
      <c r="G12" s="9">
        <v>1.0</v>
      </c>
      <c r="H12" s="8" t="s">
        <v>39</v>
      </c>
      <c r="I12" t="str">
        <f t="shared" si="2"/>
        <v>5-1</v>
      </c>
      <c r="J12">
        <f t="shared" si="3"/>
        <v>4</v>
      </c>
    </row>
    <row r="13">
      <c r="A13" s="5">
        <f t="shared" si="1"/>
        <v>2</v>
      </c>
      <c r="B13" s="6">
        <v>46188.0</v>
      </c>
      <c r="C13" s="7">
        <v>0.7083333333333334</v>
      </c>
      <c r="D13" s="8" t="s">
        <v>40</v>
      </c>
      <c r="E13" s="8" t="s">
        <v>41</v>
      </c>
      <c r="F13" s="9">
        <v>0.0</v>
      </c>
      <c r="G13" s="9">
        <v>0.0</v>
      </c>
      <c r="H13" s="8" t="s">
        <v>42</v>
      </c>
      <c r="I13" t="str">
        <f t="shared" si="2"/>
        <v>0-0</v>
      </c>
      <c r="J13">
        <f t="shared" si="3"/>
        <v>0</v>
      </c>
    </row>
    <row r="14">
      <c r="A14" s="5">
        <f t="shared" si="1"/>
        <v>2</v>
      </c>
      <c r="B14" s="6">
        <v>46188.0</v>
      </c>
      <c r="C14" s="7">
        <v>0.8333333333333334</v>
      </c>
      <c r="D14" s="8" t="s">
        <v>43</v>
      </c>
      <c r="E14" s="8" t="s">
        <v>44</v>
      </c>
      <c r="F14" s="9">
        <v>1.0</v>
      </c>
      <c r="G14" s="9">
        <v>1.0</v>
      </c>
      <c r="H14" s="8" t="s">
        <v>45</v>
      </c>
      <c r="I14" t="str">
        <f t="shared" si="2"/>
        <v>1-1</v>
      </c>
      <c r="J14">
        <f t="shared" si="3"/>
        <v>0</v>
      </c>
    </row>
    <row r="15">
      <c r="A15" s="5">
        <f t="shared" si="1"/>
        <v>2</v>
      </c>
      <c r="B15" s="6">
        <v>46188.0</v>
      </c>
      <c r="C15" s="7">
        <v>0.9583333333333334</v>
      </c>
      <c r="D15" s="8" t="s">
        <v>40</v>
      </c>
      <c r="E15" s="8" t="s">
        <v>46</v>
      </c>
      <c r="F15" s="9">
        <v>1.0</v>
      </c>
      <c r="G15" s="9">
        <v>1.0</v>
      </c>
      <c r="H15" s="8" t="s">
        <v>47</v>
      </c>
      <c r="I15" t="str">
        <f t="shared" si="2"/>
        <v>1-1</v>
      </c>
      <c r="J15">
        <f t="shared" si="3"/>
        <v>0</v>
      </c>
    </row>
    <row r="16">
      <c r="A16" s="5">
        <f t="shared" si="1"/>
        <v>3</v>
      </c>
      <c r="B16" s="6">
        <v>46189.0</v>
      </c>
      <c r="C16" s="7">
        <v>0.08333333333333333</v>
      </c>
      <c r="D16" s="8" t="s">
        <v>43</v>
      </c>
      <c r="E16" s="8" t="s">
        <v>48</v>
      </c>
      <c r="F16" s="9">
        <v>2.0</v>
      </c>
      <c r="G16" s="9">
        <v>2.0</v>
      </c>
      <c r="H16" s="8" t="s">
        <v>49</v>
      </c>
      <c r="I16" t="str">
        <f t="shared" si="2"/>
        <v>2-2</v>
      </c>
      <c r="J16">
        <f t="shared" si="3"/>
        <v>0</v>
      </c>
    </row>
    <row r="17">
      <c r="A17" s="5">
        <f t="shared" si="1"/>
        <v>3</v>
      </c>
      <c r="B17" s="6">
        <v>46189.0</v>
      </c>
      <c r="C17" s="7">
        <v>0.8333333333333334</v>
      </c>
      <c r="D17" s="8" t="s">
        <v>50</v>
      </c>
      <c r="E17" s="8" t="s">
        <v>51</v>
      </c>
      <c r="F17" s="9">
        <v>3.0</v>
      </c>
      <c r="G17" s="9">
        <v>1.0</v>
      </c>
      <c r="H17" s="8" t="s">
        <v>52</v>
      </c>
      <c r="I17" t="str">
        <f t="shared" si="2"/>
        <v>3-1</v>
      </c>
      <c r="J17">
        <f t="shared" si="3"/>
        <v>2</v>
      </c>
    </row>
    <row r="18">
      <c r="A18" s="5">
        <f t="shared" si="1"/>
        <v>3</v>
      </c>
      <c r="B18" s="6">
        <v>46189.0</v>
      </c>
      <c r="C18" s="7">
        <v>0.9583333333333334</v>
      </c>
      <c r="D18" s="8" t="s">
        <v>50</v>
      </c>
      <c r="E18" s="8" t="s">
        <v>53</v>
      </c>
      <c r="F18" s="9">
        <v>1.0</v>
      </c>
      <c r="G18" s="9">
        <v>4.0</v>
      </c>
      <c r="H18" s="8" t="s">
        <v>54</v>
      </c>
      <c r="I18" t="str">
        <f t="shared" si="2"/>
        <v>1-4</v>
      </c>
      <c r="J18">
        <f t="shared" si="3"/>
        <v>-3</v>
      </c>
    </row>
    <row r="19">
      <c r="A19" s="5">
        <f t="shared" si="1"/>
        <v>4</v>
      </c>
      <c r="B19" s="6">
        <v>46190.0</v>
      </c>
      <c r="C19" s="7">
        <v>0.08333333333333333</v>
      </c>
      <c r="D19" s="8" t="s">
        <v>55</v>
      </c>
      <c r="E19" s="8" t="s">
        <v>56</v>
      </c>
      <c r="F19" s="9">
        <v>3.0</v>
      </c>
      <c r="G19" s="9">
        <v>0.0</v>
      </c>
      <c r="H19" s="8" t="s">
        <v>57</v>
      </c>
      <c r="I19" t="str">
        <f t="shared" si="2"/>
        <v>3-0</v>
      </c>
      <c r="J19">
        <f t="shared" si="3"/>
        <v>3</v>
      </c>
    </row>
    <row r="20">
      <c r="A20" s="5">
        <f t="shared" si="1"/>
        <v>4</v>
      </c>
      <c r="B20" s="6">
        <v>46190.0</v>
      </c>
      <c r="C20" s="7">
        <v>0.20833333333333334</v>
      </c>
      <c r="D20" s="8" t="s">
        <v>55</v>
      </c>
      <c r="E20" s="8" t="s">
        <v>58</v>
      </c>
      <c r="F20" s="9">
        <v>3.0</v>
      </c>
      <c r="G20" s="9">
        <v>1.0</v>
      </c>
      <c r="H20" s="8" t="s">
        <v>59</v>
      </c>
      <c r="I20" t="str">
        <f t="shared" si="2"/>
        <v>3-1</v>
      </c>
      <c r="J20">
        <f t="shared" si="3"/>
        <v>2</v>
      </c>
    </row>
    <row r="21">
      <c r="A21" s="5">
        <f t="shared" si="1"/>
        <v>4</v>
      </c>
      <c r="B21" s="6">
        <v>46190.0</v>
      </c>
      <c r="C21" s="7">
        <v>0.75</v>
      </c>
      <c r="D21" s="8" t="s">
        <v>60</v>
      </c>
      <c r="E21" s="8" t="s">
        <v>61</v>
      </c>
      <c r="F21" s="9">
        <v>1.0</v>
      </c>
      <c r="G21" s="9">
        <v>1.0</v>
      </c>
      <c r="H21" s="8" t="s">
        <v>62</v>
      </c>
      <c r="I21" t="str">
        <f t="shared" si="2"/>
        <v>1-1</v>
      </c>
      <c r="J21">
        <f t="shared" si="3"/>
        <v>0</v>
      </c>
    </row>
    <row r="22">
      <c r="A22" s="5">
        <f t="shared" si="1"/>
        <v>4</v>
      </c>
      <c r="B22" s="6">
        <v>46190.0</v>
      </c>
      <c r="C22" s="7">
        <v>0.875</v>
      </c>
      <c r="D22" s="8" t="s">
        <v>63</v>
      </c>
      <c r="E22" s="8" t="s">
        <v>64</v>
      </c>
      <c r="F22" s="9">
        <v>4.0</v>
      </c>
      <c r="G22" s="9">
        <v>2.0</v>
      </c>
      <c r="H22" s="8" t="s">
        <v>65</v>
      </c>
      <c r="I22" t="str">
        <f t="shared" si="2"/>
        <v>4-2</v>
      </c>
      <c r="J22">
        <f t="shared" si="3"/>
        <v>2</v>
      </c>
    </row>
    <row r="23">
      <c r="A23" s="5">
        <f t="shared" si="1"/>
        <v>5</v>
      </c>
      <c r="B23" s="6">
        <v>46191.0</v>
      </c>
      <c r="C23" s="7">
        <v>0.0</v>
      </c>
      <c r="D23" s="8" t="s">
        <v>63</v>
      </c>
      <c r="E23" s="8" t="s">
        <v>66</v>
      </c>
      <c r="F23" s="9">
        <v>1.0</v>
      </c>
      <c r="G23" s="9">
        <v>0.0</v>
      </c>
      <c r="H23" s="8" t="s">
        <v>67</v>
      </c>
      <c r="I23" t="str">
        <f t="shared" si="2"/>
        <v>1-0</v>
      </c>
      <c r="J23">
        <f t="shared" si="3"/>
        <v>1</v>
      </c>
    </row>
    <row r="24">
      <c r="A24" s="5">
        <f t="shared" si="1"/>
        <v>5</v>
      </c>
      <c r="B24" s="6">
        <v>46191.0</v>
      </c>
      <c r="C24" s="7">
        <v>0.125</v>
      </c>
      <c r="D24" s="8" t="s">
        <v>60</v>
      </c>
      <c r="E24" s="8" t="s">
        <v>68</v>
      </c>
      <c r="F24" s="9">
        <v>1.0</v>
      </c>
      <c r="G24" s="9">
        <v>3.0</v>
      </c>
      <c r="H24" s="8" t="s">
        <v>69</v>
      </c>
      <c r="I24" t="str">
        <f t="shared" si="2"/>
        <v>1-3</v>
      </c>
      <c r="J24">
        <f t="shared" si="3"/>
        <v>-2</v>
      </c>
    </row>
    <row r="25">
      <c r="A25" s="5">
        <f t="shared" si="1"/>
        <v>5</v>
      </c>
      <c r="B25" s="6">
        <v>46191.0</v>
      </c>
      <c r="C25" s="7">
        <v>0.7083333333333334</v>
      </c>
      <c r="D25" s="8" t="s">
        <v>10</v>
      </c>
      <c r="E25" s="8" t="s">
        <v>70</v>
      </c>
      <c r="F25" s="9">
        <v>1.0</v>
      </c>
      <c r="G25" s="9">
        <v>1.0</v>
      </c>
      <c r="H25" s="8" t="s">
        <v>12</v>
      </c>
      <c r="I25" t="str">
        <f t="shared" si="2"/>
        <v>1-1</v>
      </c>
      <c r="J25">
        <f t="shared" si="3"/>
        <v>0</v>
      </c>
    </row>
    <row r="26">
      <c r="A26" s="5">
        <f t="shared" si="1"/>
        <v>5</v>
      </c>
      <c r="B26" s="6">
        <v>46191.0</v>
      </c>
      <c r="C26" s="7">
        <v>0.8333333333333334</v>
      </c>
      <c r="D26" s="8" t="s">
        <v>15</v>
      </c>
      <c r="E26" s="8" t="s">
        <v>22</v>
      </c>
      <c r="F26" s="9">
        <v>4.0</v>
      </c>
      <c r="G26" s="9">
        <v>1.0</v>
      </c>
      <c r="H26" s="8" t="s">
        <v>17</v>
      </c>
      <c r="I26" t="str">
        <f t="shared" si="2"/>
        <v>4-1</v>
      </c>
      <c r="J26">
        <f t="shared" si="3"/>
        <v>3</v>
      </c>
    </row>
    <row r="27">
      <c r="A27" s="5">
        <f t="shared" si="1"/>
        <v>5</v>
      </c>
      <c r="B27" s="6">
        <v>46191.0</v>
      </c>
      <c r="C27" s="7">
        <v>0.9583333333333334</v>
      </c>
      <c r="D27" s="8" t="s">
        <v>15</v>
      </c>
      <c r="E27" s="8" t="s">
        <v>16</v>
      </c>
      <c r="F27" s="9">
        <v>3.0</v>
      </c>
      <c r="G27" s="9">
        <v>0.0</v>
      </c>
      <c r="H27" s="8" t="s">
        <v>21</v>
      </c>
      <c r="I27" t="str">
        <f t="shared" si="2"/>
        <v>3-0</v>
      </c>
      <c r="J27">
        <f t="shared" si="3"/>
        <v>3</v>
      </c>
    </row>
    <row r="28">
      <c r="A28" s="5">
        <f t="shared" si="1"/>
        <v>6</v>
      </c>
      <c r="B28" s="6">
        <v>46192.0</v>
      </c>
      <c r="C28" s="7">
        <v>0.08333333333333333</v>
      </c>
      <c r="D28" s="8" t="s">
        <v>10</v>
      </c>
      <c r="E28" s="8" t="s">
        <v>11</v>
      </c>
      <c r="F28" s="9">
        <v>1.0</v>
      </c>
      <c r="G28" s="9">
        <v>0.0</v>
      </c>
      <c r="H28" s="8" t="s">
        <v>13</v>
      </c>
      <c r="I28" t="str">
        <f t="shared" si="2"/>
        <v>1-0</v>
      </c>
      <c r="J28">
        <f t="shared" si="3"/>
        <v>1</v>
      </c>
    </row>
    <row r="29">
      <c r="A29" s="5">
        <f t="shared" si="1"/>
        <v>6</v>
      </c>
      <c r="B29" s="6">
        <v>46192.0</v>
      </c>
      <c r="C29" s="7">
        <v>0.8333333333333334</v>
      </c>
      <c r="D29" s="8" t="s">
        <v>18</v>
      </c>
      <c r="E29" s="8" t="s">
        <v>19</v>
      </c>
      <c r="F29" s="9">
        <v>2.0</v>
      </c>
      <c r="G29" s="9">
        <v>0.0</v>
      </c>
      <c r="H29" s="8" t="s">
        <v>28</v>
      </c>
      <c r="I29" t="str">
        <f t="shared" si="2"/>
        <v>2-0</v>
      </c>
      <c r="J29">
        <f t="shared" si="3"/>
        <v>2</v>
      </c>
    </row>
    <row r="30">
      <c r="A30" s="5">
        <f t="shared" si="1"/>
        <v>6</v>
      </c>
      <c r="B30" s="6">
        <v>46192.0</v>
      </c>
      <c r="C30" s="7">
        <v>0.9583333333333334</v>
      </c>
      <c r="D30" s="8" t="s">
        <v>23</v>
      </c>
      <c r="E30" s="8" t="s">
        <v>27</v>
      </c>
      <c r="F30" s="9">
        <v>0.0</v>
      </c>
      <c r="G30" s="9">
        <v>1.0</v>
      </c>
      <c r="H30" s="8" t="s">
        <v>25</v>
      </c>
      <c r="I30" t="str">
        <f t="shared" si="2"/>
        <v>0-1</v>
      </c>
      <c r="J30">
        <f t="shared" si="3"/>
        <v>-1</v>
      </c>
    </row>
    <row r="31">
      <c r="A31" s="5">
        <f t="shared" si="1"/>
        <v>7</v>
      </c>
      <c r="B31" s="6">
        <v>46193.0</v>
      </c>
      <c r="C31" s="7">
        <v>0.0625</v>
      </c>
      <c r="D31" s="8" t="s">
        <v>23</v>
      </c>
      <c r="E31" s="8" t="s">
        <v>24</v>
      </c>
      <c r="F31" s="9">
        <v>3.0</v>
      </c>
      <c r="G31" s="9">
        <v>0.0</v>
      </c>
      <c r="H31" s="8" t="s">
        <v>26</v>
      </c>
      <c r="I31" t="str">
        <f t="shared" si="2"/>
        <v>3-0</v>
      </c>
      <c r="J31">
        <f t="shared" si="3"/>
        <v>3</v>
      </c>
    </row>
    <row r="32">
      <c r="A32" s="5">
        <f t="shared" si="1"/>
        <v>7</v>
      </c>
      <c r="B32" s="6">
        <v>46193.0</v>
      </c>
      <c r="C32" s="7">
        <v>0.16666666666666666</v>
      </c>
      <c r="D32" s="8" t="s">
        <v>18</v>
      </c>
      <c r="E32" s="8" t="s">
        <v>71</v>
      </c>
      <c r="F32" s="9">
        <v>0.0</v>
      </c>
      <c r="G32" s="9">
        <v>1.0</v>
      </c>
      <c r="H32" s="8" t="s">
        <v>20</v>
      </c>
      <c r="I32" t="str">
        <f t="shared" si="2"/>
        <v>0-1</v>
      </c>
      <c r="J32">
        <f t="shared" si="3"/>
        <v>-1</v>
      </c>
    </row>
    <row r="33">
      <c r="A33" s="5">
        <f t="shared" si="1"/>
        <v>7</v>
      </c>
      <c r="B33" s="6">
        <v>46193.0</v>
      </c>
      <c r="C33" s="7">
        <v>0.75</v>
      </c>
      <c r="D33" s="8" t="s">
        <v>33</v>
      </c>
      <c r="E33" s="8" t="s">
        <v>34</v>
      </c>
      <c r="H33" s="8" t="s">
        <v>38</v>
      </c>
      <c r="I33" t="str">
        <f t="shared" si="2"/>
        <v>-</v>
      </c>
      <c r="J33">
        <f t="shared" si="3"/>
        <v>0</v>
      </c>
    </row>
    <row r="34">
      <c r="A34" s="5">
        <f t="shared" si="1"/>
        <v>7</v>
      </c>
      <c r="B34" s="6">
        <v>46193.0</v>
      </c>
      <c r="C34" s="7">
        <v>0.875</v>
      </c>
      <c r="D34" s="8" t="s">
        <v>30</v>
      </c>
      <c r="E34" s="8" t="s">
        <v>31</v>
      </c>
      <c r="H34" s="8" t="s">
        <v>36</v>
      </c>
      <c r="I34" t="str">
        <f t="shared" si="2"/>
        <v>-</v>
      </c>
      <c r="J34">
        <f t="shared" si="3"/>
        <v>0</v>
      </c>
    </row>
    <row r="35">
      <c r="A35" s="5">
        <f t="shared" si="1"/>
        <v>1</v>
      </c>
      <c r="B35" s="6">
        <v>46194.0</v>
      </c>
      <c r="C35" s="7">
        <v>0.041666666666666664</v>
      </c>
      <c r="D35" s="8" t="s">
        <v>30</v>
      </c>
      <c r="E35" s="8" t="s">
        <v>37</v>
      </c>
      <c r="H35" s="8" t="s">
        <v>32</v>
      </c>
      <c r="I35" t="str">
        <f t="shared" si="2"/>
        <v>-</v>
      </c>
      <c r="J35">
        <f t="shared" si="3"/>
        <v>0</v>
      </c>
    </row>
    <row r="36">
      <c r="A36" s="5">
        <f t="shared" si="1"/>
        <v>1</v>
      </c>
      <c r="B36" s="6">
        <v>46194.0</v>
      </c>
      <c r="C36" s="7">
        <v>0.20833333333333334</v>
      </c>
      <c r="D36" s="8" t="s">
        <v>33</v>
      </c>
      <c r="E36" s="8" t="s">
        <v>39</v>
      </c>
      <c r="H36" s="8" t="s">
        <v>35</v>
      </c>
      <c r="I36" t="str">
        <f t="shared" si="2"/>
        <v>-</v>
      </c>
      <c r="J36">
        <f t="shared" si="3"/>
        <v>0</v>
      </c>
    </row>
    <row r="37">
      <c r="A37" s="5">
        <f t="shared" si="1"/>
        <v>1</v>
      </c>
      <c r="B37" s="6">
        <v>46194.0</v>
      </c>
      <c r="C37" s="7">
        <v>0.7083333333333334</v>
      </c>
      <c r="D37" s="8" t="s">
        <v>40</v>
      </c>
      <c r="E37" s="8" t="s">
        <v>41</v>
      </c>
      <c r="H37" s="8" t="s">
        <v>46</v>
      </c>
      <c r="I37" t="str">
        <f t="shared" si="2"/>
        <v>-</v>
      </c>
      <c r="J37">
        <f t="shared" si="3"/>
        <v>0</v>
      </c>
    </row>
    <row r="38">
      <c r="A38" s="5">
        <f t="shared" si="1"/>
        <v>1</v>
      </c>
      <c r="B38" s="6">
        <v>46194.0</v>
      </c>
      <c r="C38" s="7">
        <v>0.8333333333333334</v>
      </c>
      <c r="D38" s="8" t="s">
        <v>43</v>
      </c>
      <c r="E38" s="8" t="s">
        <v>44</v>
      </c>
      <c r="H38" s="8" t="s">
        <v>48</v>
      </c>
      <c r="I38" t="str">
        <f t="shared" si="2"/>
        <v>-</v>
      </c>
      <c r="J38">
        <f t="shared" si="3"/>
        <v>0</v>
      </c>
    </row>
    <row r="39">
      <c r="A39" s="5">
        <f t="shared" si="1"/>
        <v>1</v>
      </c>
      <c r="B39" s="6">
        <v>46194.0</v>
      </c>
      <c r="C39" s="7">
        <v>0.9583333333333334</v>
      </c>
      <c r="D39" s="8" t="s">
        <v>40</v>
      </c>
      <c r="E39" s="8" t="s">
        <v>47</v>
      </c>
      <c r="H39" s="8" t="s">
        <v>42</v>
      </c>
      <c r="I39" t="str">
        <f t="shared" si="2"/>
        <v>-</v>
      </c>
      <c r="J39">
        <f t="shared" si="3"/>
        <v>0</v>
      </c>
    </row>
    <row r="40">
      <c r="A40" s="5">
        <f t="shared" si="1"/>
        <v>2</v>
      </c>
      <c r="B40" s="6">
        <v>46195.0</v>
      </c>
      <c r="C40" s="7">
        <v>0.08333333333333333</v>
      </c>
      <c r="D40" s="8" t="s">
        <v>43</v>
      </c>
      <c r="E40" s="8" t="s">
        <v>49</v>
      </c>
      <c r="H40" s="8" t="s">
        <v>45</v>
      </c>
      <c r="I40" t="str">
        <f t="shared" si="2"/>
        <v>-</v>
      </c>
      <c r="J40">
        <f t="shared" si="3"/>
        <v>0</v>
      </c>
    </row>
    <row r="41">
      <c r="A41" s="5">
        <f t="shared" si="1"/>
        <v>2</v>
      </c>
      <c r="B41" s="6">
        <v>46195.0</v>
      </c>
      <c r="C41" s="7">
        <v>0.7916666666666666</v>
      </c>
      <c r="D41" s="8" t="s">
        <v>55</v>
      </c>
      <c r="E41" s="8" t="s">
        <v>56</v>
      </c>
      <c r="H41" s="8" t="s">
        <v>58</v>
      </c>
      <c r="I41" t="str">
        <f t="shared" si="2"/>
        <v>-</v>
      </c>
      <c r="J41">
        <f t="shared" si="3"/>
        <v>0</v>
      </c>
    </row>
    <row r="42">
      <c r="A42" s="5">
        <f t="shared" si="1"/>
        <v>2</v>
      </c>
      <c r="B42" s="6">
        <v>46195.0</v>
      </c>
      <c r="C42" s="7">
        <v>0.9583333333333334</v>
      </c>
      <c r="D42" s="8" t="s">
        <v>50</v>
      </c>
      <c r="E42" s="8" t="s">
        <v>51</v>
      </c>
      <c r="H42" s="8" t="s">
        <v>53</v>
      </c>
      <c r="I42" t="str">
        <f t="shared" si="2"/>
        <v>-</v>
      </c>
      <c r="J42">
        <f t="shared" si="3"/>
        <v>0</v>
      </c>
    </row>
    <row r="43">
      <c r="A43" s="5">
        <f t="shared" si="1"/>
        <v>3</v>
      </c>
      <c r="B43" s="6">
        <v>46196.0</v>
      </c>
      <c r="C43" s="7">
        <v>0.08333333333333333</v>
      </c>
      <c r="D43" s="8" t="s">
        <v>50</v>
      </c>
      <c r="E43" s="8" t="s">
        <v>54</v>
      </c>
      <c r="H43" s="8" t="s">
        <v>52</v>
      </c>
      <c r="I43" t="str">
        <f t="shared" si="2"/>
        <v>-</v>
      </c>
      <c r="J43">
        <f t="shared" si="3"/>
        <v>0</v>
      </c>
    </row>
    <row r="44">
      <c r="A44" s="5">
        <f t="shared" si="1"/>
        <v>3</v>
      </c>
      <c r="B44" s="6">
        <v>46196.0</v>
      </c>
      <c r="C44" s="7">
        <v>0.20833333333333334</v>
      </c>
      <c r="D44" s="8" t="s">
        <v>55</v>
      </c>
      <c r="E44" s="8" t="s">
        <v>59</v>
      </c>
      <c r="H44" s="8" t="s">
        <v>57</v>
      </c>
      <c r="I44" t="str">
        <f t="shared" si="2"/>
        <v>-</v>
      </c>
      <c r="J44">
        <f t="shared" si="3"/>
        <v>0</v>
      </c>
    </row>
    <row r="45">
      <c r="A45" s="5">
        <f t="shared" si="1"/>
        <v>3</v>
      </c>
      <c r="B45" s="6">
        <v>46196.0</v>
      </c>
      <c r="C45" s="7">
        <v>0.7916666666666666</v>
      </c>
      <c r="D45" s="8" t="s">
        <v>60</v>
      </c>
      <c r="E45" s="8" t="s">
        <v>61</v>
      </c>
      <c r="H45" s="8" t="s">
        <v>68</v>
      </c>
      <c r="I45" t="str">
        <f t="shared" si="2"/>
        <v>-</v>
      </c>
      <c r="J45">
        <f t="shared" si="3"/>
        <v>0</v>
      </c>
    </row>
    <row r="46">
      <c r="A46" s="5">
        <f t="shared" si="1"/>
        <v>3</v>
      </c>
      <c r="B46" s="6">
        <v>46196.0</v>
      </c>
      <c r="C46" s="7">
        <v>0.9166666666666666</v>
      </c>
      <c r="D46" s="8" t="s">
        <v>63</v>
      </c>
      <c r="E46" s="8" t="s">
        <v>64</v>
      </c>
      <c r="H46" s="8" t="s">
        <v>66</v>
      </c>
      <c r="I46" t="str">
        <f t="shared" si="2"/>
        <v>-</v>
      </c>
      <c r="J46">
        <f t="shared" si="3"/>
        <v>0</v>
      </c>
    </row>
    <row r="47">
      <c r="A47" s="5">
        <f t="shared" si="1"/>
        <v>4</v>
      </c>
      <c r="B47" s="6">
        <v>46197.0</v>
      </c>
      <c r="C47" s="7">
        <v>0.041666666666666664</v>
      </c>
      <c r="D47" s="8" t="s">
        <v>63</v>
      </c>
      <c r="E47" s="8" t="s">
        <v>67</v>
      </c>
      <c r="H47" s="8" t="s">
        <v>65</v>
      </c>
      <c r="I47" t="str">
        <f t="shared" si="2"/>
        <v>-</v>
      </c>
      <c r="J47">
        <f t="shared" si="3"/>
        <v>0</v>
      </c>
    </row>
    <row r="48">
      <c r="A48" s="5">
        <f t="shared" si="1"/>
        <v>4</v>
      </c>
      <c r="B48" s="6">
        <v>46197.0</v>
      </c>
      <c r="C48" s="7">
        <v>0.16666666666666666</v>
      </c>
      <c r="D48" s="8" t="s">
        <v>60</v>
      </c>
      <c r="E48" s="8" t="s">
        <v>69</v>
      </c>
      <c r="H48" s="8" t="s">
        <v>72</v>
      </c>
      <c r="I48" t="str">
        <f t="shared" si="2"/>
        <v>-</v>
      </c>
      <c r="J48">
        <f t="shared" si="3"/>
        <v>0</v>
      </c>
    </row>
    <row r="49">
      <c r="A49" s="5">
        <f t="shared" si="1"/>
        <v>4</v>
      </c>
      <c r="B49" s="6">
        <v>46197.0</v>
      </c>
      <c r="C49" s="7">
        <v>0.75</v>
      </c>
      <c r="D49" s="8" t="s">
        <v>23</v>
      </c>
      <c r="E49" s="8" t="s">
        <v>25</v>
      </c>
      <c r="H49" s="8" t="s">
        <v>26</v>
      </c>
      <c r="I49" t="str">
        <f t="shared" si="2"/>
        <v>-</v>
      </c>
      <c r="J49">
        <f t="shared" si="3"/>
        <v>0</v>
      </c>
    </row>
    <row r="50">
      <c r="A50" s="5">
        <f t="shared" si="1"/>
        <v>4</v>
      </c>
      <c r="B50" s="6">
        <v>46197.0</v>
      </c>
      <c r="C50" s="7">
        <v>0.75</v>
      </c>
      <c r="D50" s="8" t="s">
        <v>23</v>
      </c>
      <c r="E50" s="8" t="s">
        <v>27</v>
      </c>
      <c r="H50" s="8" t="s">
        <v>24</v>
      </c>
      <c r="I50" t="str">
        <f t="shared" si="2"/>
        <v>-</v>
      </c>
      <c r="J50">
        <f t="shared" si="3"/>
        <v>0</v>
      </c>
    </row>
    <row r="51">
      <c r="A51" s="5">
        <f t="shared" si="1"/>
        <v>4</v>
      </c>
      <c r="B51" s="6">
        <v>46197.0</v>
      </c>
      <c r="C51" s="7">
        <v>0.875</v>
      </c>
      <c r="D51" s="8" t="s">
        <v>15</v>
      </c>
      <c r="E51" s="8" t="s">
        <v>16</v>
      </c>
      <c r="H51" s="8" t="s">
        <v>22</v>
      </c>
      <c r="I51" t="str">
        <f t="shared" si="2"/>
        <v>-</v>
      </c>
      <c r="J51">
        <f t="shared" si="3"/>
        <v>0</v>
      </c>
    </row>
    <row r="52">
      <c r="A52" s="5">
        <f t="shared" si="1"/>
        <v>4</v>
      </c>
      <c r="B52" s="6">
        <v>46197.0</v>
      </c>
      <c r="C52" s="7">
        <v>0.875</v>
      </c>
      <c r="D52" s="10" t="s">
        <v>15</v>
      </c>
      <c r="E52" s="10" t="s">
        <v>17</v>
      </c>
      <c r="H52" s="10" t="s">
        <v>21</v>
      </c>
      <c r="I52" t="str">
        <f t="shared" si="2"/>
        <v>-</v>
      </c>
      <c r="J52">
        <f t="shared" si="3"/>
        <v>0</v>
      </c>
    </row>
    <row r="53">
      <c r="A53" s="5">
        <f t="shared" si="1"/>
        <v>5</v>
      </c>
      <c r="B53" s="6">
        <v>46198.0</v>
      </c>
      <c r="C53" s="7">
        <v>0.08333333333333333</v>
      </c>
      <c r="D53" s="10" t="s">
        <v>10</v>
      </c>
      <c r="E53" s="10" t="s">
        <v>11</v>
      </c>
      <c r="H53" s="10" t="s">
        <v>70</v>
      </c>
      <c r="I53" t="str">
        <f t="shared" si="2"/>
        <v>-</v>
      </c>
      <c r="J53">
        <f t="shared" si="3"/>
        <v>0</v>
      </c>
    </row>
    <row r="54">
      <c r="A54" s="5">
        <f t="shared" si="1"/>
        <v>5</v>
      </c>
      <c r="B54" s="6">
        <v>46198.0</v>
      </c>
      <c r="C54" s="7">
        <v>0.08333333333333333</v>
      </c>
      <c r="D54" s="10" t="s">
        <v>10</v>
      </c>
      <c r="E54" s="10" t="s">
        <v>13</v>
      </c>
      <c r="H54" s="10" t="s">
        <v>12</v>
      </c>
      <c r="I54" t="str">
        <f t="shared" si="2"/>
        <v>-</v>
      </c>
      <c r="J54">
        <f t="shared" si="3"/>
        <v>0</v>
      </c>
    </row>
    <row r="55">
      <c r="A55" s="5">
        <f t="shared" si="1"/>
        <v>5</v>
      </c>
      <c r="B55" s="6">
        <v>46198.0</v>
      </c>
      <c r="C55" s="7">
        <v>0.75</v>
      </c>
      <c r="D55" s="10" t="s">
        <v>30</v>
      </c>
      <c r="E55" s="10" t="s">
        <v>37</v>
      </c>
      <c r="H55" s="10" t="s">
        <v>31</v>
      </c>
      <c r="I55" t="str">
        <f t="shared" si="2"/>
        <v>-</v>
      </c>
      <c r="J55">
        <f t="shared" si="3"/>
        <v>0</v>
      </c>
    </row>
    <row r="56">
      <c r="A56" s="5">
        <f t="shared" si="1"/>
        <v>5</v>
      </c>
      <c r="B56" s="6">
        <v>46198.0</v>
      </c>
      <c r="C56" s="7">
        <v>0.75</v>
      </c>
      <c r="D56" s="10" t="s">
        <v>30</v>
      </c>
      <c r="E56" s="10" t="s">
        <v>32</v>
      </c>
      <c r="H56" s="10" t="s">
        <v>36</v>
      </c>
      <c r="I56" t="str">
        <f t="shared" si="2"/>
        <v>-</v>
      </c>
      <c r="J56">
        <f t="shared" si="3"/>
        <v>0</v>
      </c>
    </row>
    <row r="57">
      <c r="A57" s="5">
        <f t="shared" si="1"/>
        <v>5</v>
      </c>
      <c r="B57" s="6">
        <v>46198.0</v>
      </c>
      <c r="C57" s="7">
        <v>0.875</v>
      </c>
      <c r="D57" s="10" t="s">
        <v>33</v>
      </c>
      <c r="E57" s="10" t="s">
        <v>39</v>
      </c>
      <c r="H57" s="10" t="s">
        <v>34</v>
      </c>
      <c r="I57" t="str">
        <f t="shared" si="2"/>
        <v>-</v>
      </c>
      <c r="J57">
        <f t="shared" si="3"/>
        <v>0</v>
      </c>
    </row>
    <row r="58">
      <c r="A58" s="5">
        <f t="shared" si="1"/>
        <v>5</v>
      </c>
      <c r="B58" s="6">
        <v>46198.0</v>
      </c>
      <c r="C58" s="7">
        <v>0.875</v>
      </c>
      <c r="D58" s="10" t="s">
        <v>33</v>
      </c>
      <c r="E58" s="10" t="s">
        <v>35</v>
      </c>
      <c r="H58" s="10" t="s">
        <v>38</v>
      </c>
      <c r="I58" t="str">
        <f t="shared" si="2"/>
        <v>-</v>
      </c>
      <c r="J58">
        <f t="shared" si="3"/>
        <v>0</v>
      </c>
    </row>
    <row r="59">
      <c r="A59" s="5">
        <f t="shared" si="1"/>
        <v>6</v>
      </c>
      <c r="B59" s="6">
        <v>46199.0</v>
      </c>
      <c r="C59" s="7">
        <v>0.041666666666666664</v>
      </c>
      <c r="D59" s="10" t="s">
        <v>18</v>
      </c>
      <c r="E59" s="10" t="s">
        <v>19</v>
      </c>
      <c r="H59" s="10" t="s">
        <v>29</v>
      </c>
      <c r="I59" t="str">
        <f t="shared" si="2"/>
        <v>-</v>
      </c>
      <c r="J59">
        <f t="shared" si="3"/>
        <v>0</v>
      </c>
    </row>
    <row r="60">
      <c r="A60" s="5">
        <f t="shared" si="1"/>
        <v>6</v>
      </c>
      <c r="B60" s="6">
        <v>46199.0</v>
      </c>
      <c r="C60" s="7">
        <v>0.041666666666666664</v>
      </c>
      <c r="D60" s="10" t="s">
        <v>18</v>
      </c>
      <c r="E60" s="10" t="s">
        <v>20</v>
      </c>
      <c r="H60" s="10" t="s">
        <v>28</v>
      </c>
      <c r="I60" t="str">
        <f t="shared" si="2"/>
        <v>-</v>
      </c>
      <c r="J60">
        <f t="shared" si="3"/>
        <v>0</v>
      </c>
    </row>
    <row r="61">
      <c r="A61" s="5">
        <f t="shared" si="1"/>
        <v>6</v>
      </c>
      <c r="B61" s="6">
        <v>46199.0</v>
      </c>
      <c r="C61" s="7">
        <v>0.75</v>
      </c>
      <c r="D61" s="10" t="s">
        <v>43</v>
      </c>
      <c r="E61" s="10" t="s">
        <v>44</v>
      </c>
      <c r="H61" s="10" t="s">
        <v>49</v>
      </c>
      <c r="I61" t="str">
        <f t="shared" si="2"/>
        <v>-</v>
      </c>
      <c r="J61">
        <f t="shared" si="3"/>
        <v>0</v>
      </c>
    </row>
    <row r="62">
      <c r="A62" s="5">
        <f t="shared" si="1"/>
        <v>6</v>
      </c>
      <c r="B62" s="6">
        <v>46199.0</v>
      </c>
      <c r="C62" s="7">
        <v>0.75</v>
      </c>
      <c r="D62" s="10" t="s">
        <v>43</v>
      </c>
      <c r="E62" s="10" t="s">
        <v>45</v>
      </c>
      <c r="H62" s="10" t="s">
        <v>48</v>
      </c>
      <c r="I62" t="str">
        <f t="shared" si="2"/>
        <v>-</v>
      </c>
      <c r="J62">
        <f t="shared" si="3"/>
        <v>0</v>
      </c>
    </row>
    <row r="63">
      <c r="A63" s="5">
        <f t="shared" si="1"/>
        <v>6</v>
      </c>
      <c r="B63" s="6">
        <v>46199.0</v>
      </c>
      <c r="C63" s="7">
        <v>0.875</v>
      </c>
      <c r="D63" s="10" t="s">
        <v>40</v>
      </c>
      <c r="E63" s="10" t="s">
        <v>41</v>
      </c>
      <c r="H63" s="10" t="s">
        <v>47</v>
      </c>
      <c r="I63" t="str">
        <f t="shared" si="2"/>
        <v>-</v>
      </c>
      <c r="J63">
        <f t="shared" si="3"/>
        <v>0</v>
      </c>
    </row>
    <row r="64">
      <c r="A64" s="5">
        <f t="shared" si="1"/>
        <v>6</v>
      </c>
      <c r="B64" s="6">
        <v>46199.0</v>
      </c>
      <c r="C64" s="7">
        <v>0.875</v>
      </c>
      <c r="D64" s="10" t="s">
        <v>40</v>
      </c>
      <c r="E64" s="10" t="s">
        <v>42</v>
      </c>
      <c r="H64" s="10" t="s">
        <v>46</v>
      </c>
      <c r="I64" t="str">
        <f t="shared" si="2"/>
        <v>-</v>
      </c>
      <c r="J64">
        <f t="shared" si="3"/>
        <v>0</v>
      </c>
    </row>
    <row r="65">
      <c r="A65" s="5">
        <f t="shared" si="1"/>
        <v>7</v>
      </c>
      <c r="B65" s="6">
        <v>46200.0</v>
      </c>
      <c r="C65" s="7">
        <v>0.041666666666666664</v>
      </c>
      <c r="D65" s="10" t="s">
        <v>50</v>
      </c>
      <c r="E65" s="10" t="s">
        <v>51</v>
      </c>
      <c r="H65" s="10" t="s">
        <v>54</v>
      </c>
      <c r="I65" t="str">
        <f t="shared" si="2"/>
        <v>-</v>
      </c>
      <c r="J65">
        <f t="shared" si="3"/>
        <v>0</v>
      </c>
    </row>
    <row r="66">
      <c r="A66" s="5">
        <f t="shared" si="1"/>
        <v>7</v>
      </c>
      <c r="B66" s="6">
        <v>46200.0</v>
      </c>
      <c r="C66" s="7">
        <v>0.041666666666666664</v>
      </c>
      <c r="D66" s="10" t="s">
        <v>50</v>
      </c>
      <c r="E66" s="10" t="s">
        <v>52</v>
      </c>
      <c r="H66" s="10" t="s">
        <v>53</v>
      </c>
      <c r="I66" t="str">
        <f t="shared" si="2"/>
        <v>-</v>
      </c>
      <c r="J66">
        <f t="shared" si="3"/>
        <v>0</v>
      </c>
    </row>
    <row r="67">
      <c r="A67" s="5">
        <f t="shared" si="1"/>
        <v>7</v>
      </c>
      <c r="B67" s="6">
        <v>46200.0</v>
      </c>
      <c r="C67" s="7">
        <v>0.75</v>
      </c>
      <c r="D67" s="10" t="s">
        <v>55</v>
      </c>
      <c r="E67" s="10" t="s">
        <v>59</v>
      </c>
      <c r="H67" s="10" t="s">
        <v>56</v>
      </c>
      <c r="I67" t="str">
        <f t="shared" si="2"/>
        <v>-</v>
      </c>
      <c r="J67">
        <f t="shared" si="3"/>
        <v>0</v>
      </c>
    </row>
    <row r="68">
      <c r="A68" s="5">
        <f t="shared" si="1"/>
        <v>7</v>
      </c>
      <c r="B68" s="6">
        <v>46200.0</v>
      </c>
      <c r="C68" s="7">
        <v>0.75</v>
      </c>
      <c r="D68" s="10" t="s">
        <v>55</v>
      </c>
      <c r="E68" s="10" t="s">
        <v>57</v>
      </c>
      <c r="H68" s="10" t="s">
        <v>58</v>
      </c>
      <c r="I68" t="str">
        <f t="shared" si="2"/>
        <v>-</v>
      </c>
      <c r="J68">
        <f t="shared" si="3"/>
        <v>0</v>
      </c>
    </row>
    <row r="69">
      <c r="A69" s="5">
        <f t="shared" si="1"/>
        <v>7</v>
      </c>
      <c r="B69" s="6">
        <v>46200.0</v>
      </c>
      <c r="C69" s="7">
        <v>0.875</v>
      </c>
      <c r="D69" s="10" t="s">
        <v>60</v>
      </c>
      <c r="E69" s="10" t="s">
        <v>69</v>
      </c>
      <c r="H69" s="10" t="s">
        <v>61</v>
      </c>
      <c r="I69" t="str">
        <f t="shared" si="2"/>
        <v>-</v>
      </c>
      <c r="J69">
        <f t="shared" si="3"/>
        <v>0</v>
      </c>
    </row>
    <row r="70">
      <c r="A70" s="5">
        <f t="shared" si="1"/>
        <v>7</v>
      </c>
      <c r="B70" s="6">
        <v>46200.0</v>
      </c>
      <c r="C70" s="7">
        <v>0.875</v>
      </c>
      <c r="D70" s="10" t="s">
        <v>60</v>
      </c>
      <c r="E70" s="10" t="s">
        <v>62</v>
      </c>
      <c r="H70" s="10" t="s">
        <v>68</v>
      </c>
      <c r="I70" t="str">
        <f t="shared" si="2"/>
        <v>-</v>
      </c>
      <c r="J70">
        <f t="shared" si="3"/>
        <v>0</v>
      </c>
    </row>
    <row r="71">
      <c r="A71" s="5">
        <f t="shared" si="1"/>
        <v>1</v>
      </c>
      <c r="B71" s="6">
        <v>46201.0</v>
      </c>
      <c r="C71" s="7">
        <v>0.041666666666666664</v>
      </c>
      <c r="D71" s="10" t="s">
        <v>63</v>
      </c>
      <c r="E71" s="10" t="s">
        <v>67</v>
      </c>
      <c r="H71" s="10" t="s">
        <v>64</v>
      </c>
      <c r="I71" t="str">
        <f t="shared" si="2"/>
        <v>-</v>
      </c>
      <c r="J71">
        <f t="shared" si="3"/>
        <v>0</v>
      </c>
    </row>
    <row r="72">
      <c r="A72" s="5">
        <f t="shared" si="1"/>
        <v>1</v>
      </c>
      <c r="B72" s="6">
        <v>46201.0</v>
      </c>
      <c r="C72" s="7">
        <v>0.041666666666666664</v>
      </c>
      <c r="D72" s="10" t="s">
        <v>63</v>
      </c>
      <c r="E72" s="10" t="s">
        <v>65</v>
      </c>
      <c r="H72" s="10" t="s">
        <v>66</v>
      </c>
      <c r="I72" t="str">
        <f t="shared" si="2"/>
        <v>-</v>
      </c>
      <c r="J72">
        <f t="shared" si="3"/>
        <v>0</v>
      </c>
    </row>
    <row r="73">
      <c r="A73" s="5">
        <f t="shared" si="1"/>
        <v>1</v>
      </c>
      <c r="B73" s="6">
        <v>46201.0</v>
      </c>
      <c r="C73" s="7">
        <v>0.75</v>
      </c>
      <c r="D73" s="10" t="s">
        <v>73</v>
      </c>
      <c r="E73" s="10" t="s">
        <v>74</v>
      </c>
      <c r="H73" s="10" t="s">
        <v>75</v>
      </c>
      <c r="I73" t="str">
        <f t="shared" si="2"/>
        <v>-</v>
      </c>
      <c r="J73">
        <f t="shared" si="3"/>
        <v>0</v>
      </c>
    </row>
    <row r="74">
      <c r="A74" s="5">
        <f t="shared" si="1"/>
        <v>1</v>
      </c>
      <c r="B74" s="6">
        <v>46201.0</v>
      </c>
      <c r="C74" s="7">
        <v>0.8958333333333334</v>
      </c>
      <c r="D74" s="10" t="s">
        <v>76</v>
      </c>
      <c r="E74" s="10" t="s">
        <v>77</v>
      </c>
      <c r="H74" s="10" t="s">
        <v>78</v>
      </c>
      <c r="I74" t="str">
        <f t="shared" si="2"/>
        <v>-</v>
      </c>
      <c r="J74">
        <f t="shared" si="3"/>
        <v>0</v>
      </c>
    </row>
    <row r="75">
      <c r="A75" s="5">
        <f t="shared" si="1"/>
        <v>2</v>
      </c>
      <c r="B75" s="6">
        <v>46202.0</v>
      </c>
      <c r="C75" s="7">
        <v>0.75</v>
      </c>
      <c r="D75" s="10" t="s">
        <v>79</v>
      </c>
      <c r="E75" s="10" t="s">
        <v>80</v>
      </c>
      <c r="H75" s="10" t="s">
        <v>81</v>
      </c>
      <c r="I75" t="str">
        <f t="shared" si="2"/>
        <v>-</v>
      </c>
      <c r="J75">
        <f t="shared" si="3"/>
        <v>0</v>
      </c>
    </row>
    <row r="76">
      <c r="A76" s="5">
        <f t="shared" si="1"/>
        <v>2</v>
      </c>
      <c r="B76" s="6">
        <v>46202.0</v>
      </c>
      <c r="C76" s="7">
        <v>0.8958333333333334</v>
      </c>
      <c r="D76" s="10" t="s">
        <v>82</v>
      </c>
      <c r="E76" s="10" t="s">
        <v>83</v>
      </c>
      <c r="H76" s="10" t="s">
        <v>84</v>
      </c>
      <c r="I76" t="str">
        <f t="shared" si="2"/>
        <v>-</v>
      </c>
      <c r="J76">
        <f t="shared" si="3"/>
        <v>0</v>
      </c>
    </row>
    <row r="77">
      <c r="A77" s="5">
        <f t="shared" si="1"/>
        <v>3</v>
      </c>
      <c r="B77" s="6">
        <v>46203.0</v>
      </c>
      <c r="C77" s="7">
        <v>0.75</v>
      </c>
      <c r="D77" s="10" t="s">
        <v>85</v>
      </c>
      <c r="E77" s="10" t="s">
        <v>86</v>
      </c>
      <c r="H77" s="10" t="s">
        <v>87</v>
      </c>
      <c r="I77" t="str">
        <f t="shared" si="2"/>
        <v>-</v>
      </c>
      <c r="J77">
        <f t="shared" si="3"/>
        <v>0</v>
      </c>
    </row>
    <row r="78">
      <c r="A78" s="5">
        <f t="shared" si="1"/>
        <v>3</v>
      </c>
      <c r="B78" s="6">
        <v>46203.0</v>
      </c>
      <c r="C78" s="7">
        <v>0.9166666666666666</v>
      </c>
      <c r="D78" s="10" t="s">
        <v>88</v>
      </c>
      <c r="E78" s="10" t="s">
        <v>89</v>
      </c>
      <c r="H78" s="10" t="s">
        <v>90</v>
      </c>
      <c r="I78" t="str">
        <f t="shared" si="2"/>
        <v>-</v>
      </c>
      <c r="J78">
        <f t="shared" si="3"/>
        <v>0</v>
      </c>
    </row>
    <row r="79">
      <c r="A79" s="5">
        <f t="shared" si="1"/>
        <v>4</v>
      </c>
      <c r="B79" s="11">
        <v>46204.0</v>
      </c>
      <c r="C79" s="7">
        <v>0.041666666666666664</v>
      </c>
      <c r="D79" s="10" t="s">
        <v>91</v>
      </c>
      <c r="E79" s="10" t="s">
        <v>92</v>
      </c>
      <c r="H79" s="10" t="s">
        <v>93</v>
      </c>
      <c r="I79" t="str">
        <f t="shared" si="2"/>
        <v>-</v>
      </c>
      <c r="J79">
        <f t="shared" si="3"/>
        <v>0</v>
      </c>
    </row>
    <row r="80">
      <c r="A80" s="5">
        <f t="shared" si="1"/>
        <v>4</v>
      </c>
      <c r="B80" s="11">
        <v>46204.0</v>
      </c>
      <c r="C80" s="7">
        <v>0.75</v>
      </c>
      <c r="D80" s="10" t="s">
        <v>94</v>
      </c>
      <c r="E80" s="10" t="s">
        <v>95</v>
      </c>
      <c r="H80" s="10" t="s">
        <v>96</v>
      </c>
      <c r="I80" t="str">
        <f t="shared" si="2"/>
        <v>-</v>
      </c>
      <c r="J80">
        <f t="shared" si="3"/>
        <v>0</v>
      </c>
    </row>
    <row r="81">
      <c r="A81" s="5">
        <f t="shared" si="1"/>
        <v>4</v>
      </c>
      <c r="B81" s="11">
        <v>46204.0</v>
      </c>
      <c r="C81" s="7">
        <v>0.875</v>
      </c>
      <c r="D81" s="10" t="s">
        <v>97</v>
      </c>
      <c r="E81" s="10" t="s">
        <v>98</v>
      </c>
      <c r="H81" s="10" t="s">
        <v>99</v>
      </c>
      <c r="I81" t="str">
        <f t="shared" si="2"/>
        <v>-</v>
      </c>
      <c r="J81">
        <f t="shared" si="3"/>
        <v>0</v>
      </c>
    </row>
    <row r="82">
      <c r="A82" s="5">
        <f t="shared" si="1"/>
        <v>5</v>
      </c>
      <c r="B82" s="11">
        <v>46205.0</v>
      </c>
      <c r="C82" s="7">
        <v>0.041666666666666664</v>
      </c>
      <c r="D82" s="10" t="s">
        <v>100</v>
      </c>
      <c r="E82" s="10" t="s">
        <v>101</v>
      </c>
      <c r="H82" s="10" t="s">
        <v>102</v>
      </c>
      <c r="I82" t="str">
        <f t="shared" si="2"/>
        <v>-</v>
      </c>
      <c r="J82">
        <f t="shared" si="3"/>
        <v>0</v>
      </c>
    </row>
    <row r="83">
      <c r="A83" s="5">
        <f t="shared" si="1"/>
        <v>5</v>
      </c>
      <c r="B83" s="11">
        <v>46205.0</v>
      </c>
      <c r="C83" s="7">
        <v>0.75</v>
      </c>
      <c r="D83" s="10" t="s">
        <v>103</v>
      </c>
      <c r="E83" s="10" t="s">
        <v>104</v>
      </c>
      <c r="H83" s="10" t="s">
        <v>105</v>
      </c>
      <c r="I83" t="str">
        <f t="shared" si="2"/>
        <v>-</v>
      </c>
      <c r="J83">
        <f t="shared" si="3"/>
        <v>0</v>
      </c>
    </row>
    <row r="84">
      <c r="A84" s="5">
        <f t="shared" si="1"/>
        <v>5</v>
      </c>
      <c r="B84" s="11">
        <v>46205.0</v>
      </c>
      <c r="C84" s="7">
        <v>0.875</v>
      </c>
      <c r="D84" s="10" t="s">
        <v>106</v>
      </c>
      <c r="E84" s="10" t="s">
        <v>107</v>
      </c>
      <c r="H84" s="10" t="s">
        <v>108</v>
      </c>
      <c r="I84" t="str">
        <f t="shared" si="2"/>
        <v>-</v>
      </c>
      <c r="J84">
        <f t="shared" si="3"/>
        <v>0</v>
      </c>
    </row>
    <row r="85">
      <c r="A85" s="5">
        <f t="shared" si="1"/>
        <v>6</v>
      </c>
      <c r="B85" s="11">
        <v>46206.0</v>
      </c>
      <c r="C85" s="7">
        <v>0.041666666666666664</v>
      </c>
      <c r="D85" s="10" t="s">
        <v>109</v>
      </c>
      <c r="E85" s="10" t="s">
        <v>110</v>
      </c>
      <c r="H85" s="10" t="s">
        <v>111</v>
      </c>
      <c r="I85" t="str">
        <f t="shared" si="2"/>
        <v>-</v>
      </c>
      <c r="J85">
        <f t="shared" si="3"/>
        <v>0</v>
      </c>
    </row>
    <row r="86">
      <c r="A86" s="5">
        <f t="shared" si="1"/>
        <v>6</v>
      </c>
      <c r="B86" s="11">
        <v>46206.0</v>
      </c>
      <c r="C86" s="7">
        <v>0.75</v>
      </c>
      <c r="D86" s="10" t="s">
        <v>112</v>
      </c>
      <c r="E86" s="10" t="s">
        <v>81</v>
      </c>
      <c r="H86" s="10" t="s">
        <v>113</v>
      </c>
      <c r="I86" t="str">
        <f t="shared" si="2"/>
        <v>-</v>
      </c>
      <c r="J86">
        <f t="shared" si="3"/>
        <v>0</v>
      </c>
    </row>
    <row r="87">
      <c r="A87" s="5">
        <f t="shared" si="1"/>
        <v>6</v>
      </c>
      <c r="B87" s="11">
        <v>46206.0</v>
      </c>
      <c r="C87" s="7">
        <v>0.875</v>
      </c>
      <c r="D87" s="10" t="s">
        <v>114</v>
      </c>
      <c r="E87" s="10" t="s">
        <v>93</v>
      </c>
      <c r="H87" s="10" t="s">
        <v>115</v>
      </c>
      <c r="I87" t="str">
        <f t="shared" si="2"/>
        <v>-</v>
      </c>
      <c r="J87">
        <f t="shared" si="3"/>
        <v>0</v>
      </c>
    </row>
    <row r="88">
      <c r="A88" s="5">
        <f t="shared" si="1"/>
        <v>7</v>
      </c>
      <c r="B88" s="11">
        <v>46207.0</v>
      </c>
      <c r="C88" s="7">
        <v>0.041666666666666664</v>
      </c>
      <c r="D88" s="10" t="s">
        <v>116</v>
      </c>
      <c r="E88" s="10" t="s">
        <v>117</v>
      </c>
      <c r="H88" s="10" t="s">
        <v>105</v>
      </c>
      <c r="I88" t="str">
        <f t="shared" si="2"/>
        <v>-</v>
      </c>
      <c r="J88">
        <f t="shared" si="3"/>
        <v>0</v>
      </c>
    </row>
    <row r="89">
      <c r="A89" s="5">
        <f t="shared" si="1"/>
        <v>7</v>
      </c>
      <c r="B89" s="11">
        <v>46207.0</v>
      </c>
      <c r="C89" s="7">
        <v>0.75</v>
      </c>
      <c r="D89" s="10" t="s">
        <v>118</v>
      </c>
      <c r="E89" s="10" t="s">
        <v>119</v>
      </c>
      <c r="H89" s="10" t="s">
        <v>120</v>
      </c>
      <c r="I89" t="str">
        <f t="shared" si="2"/>
        <v>-</v>
      </c>
      <c r="J89">
        <f t="shared" si="3"/>
        <v>0</v>
      </c>
    </row>
    <row r="90">
      <c r="A90" s="5">
        <f t="shared" si="1"/>
        <v>7</v>
      </c>
      <c r="B90" s="11">
        <v>46207.0</v>
      </c>
      <c r="C90" s="7">
        <v>0.8958333333333334</v>
      </c>
      <c r="D90" s="10" t="s">
        <v>121</v>
      </c>
      <c r="E90" s="10" t="s">
        <v>122</v>
      </c>
      <c r="H90" s="10" t="s">
        <v>123</v>
      </c>
      <c r="I90" t="str">
        <f t="shared" si="2"/>
        <v>-</v>
      </c>
      <c r="J90">
        <f t="shared" si="3"/>
        <v>0</v>
      </c>
    </row>
    <row r="91">
      <c r="A91" s="5">
        <f t="shared" si="1"/>
        <v>1</v>
      </c>
      <c r="B91" s="11">
        <v>46208.0</v>
      </c>
      <c r="C91" s="7">
        <v>0.75</v>
      </c>
      <c r="D91" s="10" t="s">
        <v>124</v>
      </c>
      <c r="E91" s="10" t="s">
        <v>125</v>
      </c>
      <c r="H91" s="10" t="s">
        <v>126</v>
      </c>
      <c r="I91" t="str">
        <f t="shared" si="2"/>
        <v>-</v>
      </c>
      <c r="J91">
        <f t="shared" si="3"/>
        <v>0</v>
      </c>
    </row>
    <row r="92">
      <c r="A92" s="5">
        <f t="shared" si="1"/>
        <v>1</v>
      </c>
      <c r="B92" s="11">
        <v>46208.0</v>
      </c>
      <c r="C92" s="7">
        <v>0.8958333333333334</v>
      </c>
      <c r="D92" s="10" t="s">
        <v>127</v>
      </c>
      <c r="E92" s="10" t="s">
        <v>128</v>
      </c>
      <c r="H92" s="10" t="s">
        <v>129</v>
      </c>
      <c r="I92" t="str">
        <f t="shared" si="2"/>
        <v>-</v>
      </c>
      <c r="J92">
        <f t="shared" si="3"/>
        <v>0</v>
      </c>
    </row>
    <row r="93">
      <c r="A93" s="5">
        <f t="shared" si="1"/>
        <v>2</v>
      </c>
      <c r="B93" s="11">
        <v>46209.0</v>
      </c>
      <c r="C93" s="7">
        <v>0.75</v>
      </c>
      <c r="D93" s="10" t="s">
        <v>130</v>
      </c>
      <c r="E93" s="10" t="s">
        <v>131</v>
      </c>
      <c r="H93" s="10" t="s">
        <v>132</v>
      </c>
      <c r="I93" t="str">
        <f t="shared" si="2"/>
        <v>-</v>
      </c>
      <c r="J93">
        <f t="shared" si="3"/>
        <v>0</v>
      </c>
    </row>
    <row r="94">
      <c r="A94" s="5">
        <f t="shared" si="1"/>
        <v>2</v>
      </c>
      <c r="B94" s="11">
        <v>46209.0</v>
      </c>
      <c r="C94" s="7">
        <v>0.8958333333333334</v>
      </c>
      <c r="D94" s="10" t="s">
        <v>133</v>
      </c>
      <c r="E94" s="10" t="s">
        <v>134</v>
      </c>
      <c r="H94" s="10" t="s">
        <v>135</v>
      </c>
      <c r="I94" t="str">
        <f t="shared" si="2"/>
        <v>-</v>
      </c>
      <c r="J94">
        <f t="shared" si="3"/>
        <v>0</v>
      </c>
    </row>
    <row r="95">
      <c r="A95" s="5">
        <f t="shared" si="1"/>
        <v>3</v>
      </c>
      <c r="B95" s="11">
        <v>46210.0</v>
      </c>
      <c r="C95" s="7">
        <v>0.75</v>
      </c>
      <c r="D95" s="10" t="s">
        <v>136</v>
      </c>
      <c r="E95" s="10" t="s">
        <v>137</v>
      </c>
      <c r="H95" s="10" t="s">
        <v>138</v>
      </c>
      <c r="I95" t="str">
        <f t="shared" si="2"/>
        <v>-</v>
      </c>
      <c r="J95">
        <f t="shared" si="3"/>
        <v>0</v>
      </c>
    </row>
    <row r="96">
      <c r="A96" s="5">
        <f t="shared" si="1"/>
        <v>3</v>
      </c>
      <c r="B96" s="11">
        <v>46210.0</v>
      </c>
      <c r="C96" s="7">
        <v>0.8958333333333334</v>
      </c>
      <c r="D96" s="10" t="s">
        <v>139</v>
      </c>
      <c r="E96" s="10" t="s">
        <v>140</v>
      </c>
      <c r="H96" s="10" t="s">
        <v>141</v>
      </c>
      <c r="I96" t="str">
        <f t="shared" si="2"/>
        <v>-</v>
      </c>
      <c r="J96">
        <f t="shared" si="3"/>
        <v>0</v>
      </c>
    </row>
    <row r="97">
      <c r="A97" s="5">
        <f t="shared" si="1"/>
        <v>5</v>
      </c>
      <c r="B97" s="11">
        <v>46212.0</v>
      </c>
      <c r="C97" s="7">
        <v>0.8333333333333334</v>
      </c>
      <c r="D97" s="10" t="s">
        <v>142</v>
      </c>
      <c r="E97" s="10" t="s">
        <v>143</v>
      </c>
      <c r="H97" s="10" t="s">
        <v>144</v>
      </c>
      <c r="I97" t="str">
        <f t="shared" si="2"/>
        <v>-</v>
      </c>
      <c r="J97">
        <f t="shared" si="3"/>
        <v>0</v>
      </c>
    </row>
    <row r="98">
      <c r="A98" s="5">
        <f t="shared" si="1"/>
        <v>6</v>
      </c>
      <c r="B98" s="6">
        <v>46213.0</v>
      </c>
      <c r="C98" s="7">
        <v>0.8333333333333334</v>
      </c>
      <c r="D98" s="10" t="s">
        <v>145</v>
      </c>
      <c r="E98" s="10" t="s">
        <v>146</v>
      </c>
      <c r="H98" s="10" t="s">
        <v>147</v>
      </c>
      <c r="I98" t="str">
        <f t="shared" si="2"/>
        <v>-</v>
      </c>
      <c r="J98">
        <f t="shared" si="3"/>
        <v>0</v>
      </c>
    </row>
    <row r="99">
      <c r="A99" s="5">
        <f t="shared" si="1"/>
        <v>7</v>
      </c>
      <c r="B99" s="6">
        <v>46214.0</v>
      </c>
      <c r="C99" s="7">
        <v>0.75</v>
      </c>
      <c r="D99" s="10" t="s">
        <v>148</v>
      </c>
      <c r="E99" s="10" t="s">
        <v>149</v>
      </c>
      <c r="H99" s="10" t="s">
        <v>150</v>
      </c>
      <c r="I99" t="str">
        <f t="shared" si="2"/>
        <v>-</v>
      </c>
      <c r="J99">
        <f t="shared" si="3"/>
        <v>0</v>
      </c>
    </row>
    <row r="100">
      <c r="A100" s="5">
        <f t="shared" si="1"/>
        <v>7</v>
      </c>
      <c r="B100" s="6">
        <v>46214.0</v>
      </c>
      <c r="C100" s="7">
        <v>0.8958333333333334</v>
      </c>
      <c r="D100" s="10" t="s">
        <v>151</v>
      </c>
      <c r="E100" s="10" t="s">
        <v>152</v>
      </c>
      <c r="H100" s="10" t="s">
        <v>153</v>
      </c>
      <c r="I100" t="str">
        <f t="shared" si="2"/>
        <v>-</v>
      </c>
      <c r="J100">
        <f t="shared" si="3"/>
        <v>0</v>
      </c>
    </row>
    <row r="101">
      <c r="A101" s="5">
        <f t="shared" si="1"/>
        <v>3</v>
      </c>
      <c r="B101" s="6">
        <v>46217.0</v>
      </c>
      <c r="C101" s="7">
        <v>0.8333333333333334</v>
      </c>
      <c r="D101" s="10" t="s">
        <v>154</v>
      </c>
      <c r="E101" s="10" t="s">
        <v>155</v>
      </c>
      <c r="H101" s="10" t="s">
        <v>156</v>
      </c>
      <c r="I101" t="str">
        <f t="shared" si="2"/>
        <v>-</v>
      </c>
      <c r="J101">
        <f t="shared" si="3"/>
        <v>0</v>
      </c>
    </row>
    <row r="102">
      <c r="A102" s="5">
        <f t="shared" si="1"/>
        <v>4</v>
      </c>
      <c r="B102" s="6">
        <v>46218.0</v>
      </c>
      <c r="C102" s="7">
        <v>0.8333333333333334</v>
      </c>
      <c r="D102" s="10" t="s">
        <v>157</v>
      </c>
      <c r="E102" s="10" t="s">
        <v>158</v>
      </c>
      <c r="H102" s="10" t="s">
        <v>159</v>
      </c>
      <c r="I102" t="str">
        <f t="shared" si="2"/>
        <v>-</v>
      </c>
      <c r="J102">
        <f t="shared" si="3"/>
        <v>0</v>
      </c>
    </row>
    <row r="103">
      <c r="A103" s="5">
        <f t="shared" si="1"/>
        <v>7</v>
      </c>
      <c r="B103" s="6">
        <v>46221.0</v>
      </c>
      <c r="C103" s="7">
        <v>0.8333333333333334</v>
      </c>
      <c r="D103" s="10" t="s">
        <v>160</v>
      </c>
      <c r="E103" s="10" t="s">
        <v>161</v>
      </c>
      <c r="H103" s="10" t="s">
        <v>162</v>
      </c>
      <c r="I103" t="str">
        <f t="shared" si="2"/>
        <v>-</v>
      </c>
      <c r="J103">
        <f t="shared" si="3"/>
        <v>0</v>
      </c>
    </row>
    <row r="104">
      <c r="A104" s="5">
        <f t="shared" si="1"/>
        <v>1</v>
      </c>
      <c r="B104" s="6">
        <v>46222.0</v>
      </c>
      <c r="C104" s="7">
        <v>0.8333333333333334</v>
      </c>
      <c r="D104" s="10" t="s">
        <v>163</v>
      </c>
      <c r="E104" s="10" t="s">
        <v>164</v>
      </c>
      <c r="H104" s="10" t="s">
        <v>165</v>
      </c>
      <c r="I104" t="str">
        <f t="shared" si="2"/>
        <v>-</v>
      </c>
      <c r="J104">
        <f t="shared" si="3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9.5"/>
    <col customWidth="1" min="4" max="4" width="19.13"/>
    <col customWidth="1" min="5" max="5" width="7.5"/>
    <col customWidth="1" min="6" max="6" width="19.13"/>
    <col customWidth="1" min="7" max="14" width="8.0"/>
  </cols>
  <sheetData>
    <row r="1">
      <c r="E1" s="12"/>
      <c r="G1" s="13" t="s">
        <v>3</v>
      </c>
      <c r="H1" s="13" t="s">
        <v>6</v>
      </c>
      <c r="I1" s="13" t="s">
        <v>4</v>
      </c>
      <c r="J1" s="13" t="s">
        <v>5</v>
      </c>
      <c r="K1" s="13" t="s">
        <v>9</v>
      </c>
      <c r="L1" s="13" t="s">
        <v>8</v>
      </c>
      <c r="M1" s="13" t="s">
        <v>7</v>
      </c>
      <c r="N1" s="13" t="s">
        <v>2</v>
      </c>
    </row>
    <row r="2">
      <c r="A2" s="14">
        <f>Results!B1</f>
        <v>46184</v>
      </c>
      <c r="B2" s="15">
        <f>Results!C1</f>
        <v>0.8333333333</v>
      </c>
      <c r="C2" t="str">
        <f>Results!D1</f>
        <v>Group A</v>
      </c>
      <c r="D2" t="str">
        <f>Results!E1</f>
        <v>Mexico</v>
      </c>
      <c r="E2" s="12" t="str">
        <f>Results!I1</f>
        <v>2-0</v>
      </c>
      <c r="F2" t="str">
        <f>Results!H1</f>
        <v>South Africa</v>
      </c>
      <c r="G2" s="12">
        <f>Daithi!L2</f>
        <v>3</v>
      </c>
      <c r="H2" s="12">
        <f>Kian!L2</f>
        <v>1</v>
      </c>
      <c r="I2" s="12">
        <f>Mick!L2</f>
        <v>3</v>
      </c>
      <c r="J2" s="12">
        <f>Owen!L2</f>
        <v>1</v>
      </c>
      <c r="K2" s="12">
        <f>Reddy!L2</f>
        <v>3</v>
      </c>
      <c r="L2" s="12">
        <f>Garret!L2</f>
        <v>3</v>
      </c>
      <c r="M2" s="12">
        <f>Mac!L2</f>
        <v>1</v>
      </c>
      <c r="N2" s="12">
        <f>'Noonan '!L2</f>
        <v>0</v>
      </c>
    </row>
    <row r="3">
      <c r="A3" s="14">
        <f>Results!B2</f>
        <v>46185</v>
      </c>
      <c r="B3" s="15">
        <f>Results!C2</f>
        <v>0.125</v>
      </c>
      <c r="C3" t="str">
        <f>Results!D2</f>
        <v>Group A</v>
      </c>
      <c r="D3" t="str">
        <f>Results!E2</f>
        <v>South Korea</v>
      </c>
      <c r="E3" s="12" t="str">
        <f>Results!I2</f>
        <v>2-1</v>
      </c>
      <c r="F3" t="str">
        <f>Results!H2</f>
        <v>Czech Republic</v>
      </c>
      <c r="G3" s="12">
        <f>Daithi!L3</f>
        <v>0</v>
      </c>
      <c r="H3" s="12">
        <f>Kian!L3</f>
        <v>1</v>
      </c>
      <c r="I3" s="12">
        <f>Mick!L3</f>
        <v>0</v>
      </c>
      <c r="J3" s="12">
        <f>Owen!L3</f>
        <v>0</v>
      </c>
      <c r="K3" s="12">
        <f>Reddy!L3</f>
        <v>0</v>
      </c>
      <c r="L3" s="12">
        <f>Garret!L3</f>
        <v>0</v>
      </c>
      <c r="M3" s="12">
        <f>Mac!L3</f>
        <v>0</v>
      </c>
      <c r="N3" s="12">
        <f>'Noonan '!L3</f>
        <v>0</v>
      </c>
    </row>
    <row r="4">
      <c r="A4" s="14">
        <f>Results!B3</f>
        <v>46185</v>
      </c>
      <c r="B4" s="15">
        <f>Results!C3</f>
        <v>0.8333333333</v>
      </c>
      <c r="C4" t="str">
        <f>Results!D3</f>
        <v>Group B</v>
      </c>
      <c r="D4" t="str">
        <f>Results!E3</f>
        <v>Canada</v>
      </c>
      <c r="E4" s="12" t="str">
        <f>Results!I3</f>
        <v>1-1</v>
      </c>
      <c r="F4" t="str">
        <f>Results!H3</f>
        <v>Bosnia and Herzegovina</v>
      </c>
      <c r="G4" s="12">
        <f>Daithi!L4</f>
        <v>1</v>
      </c>
      <c r="H4" s="12">
        <f>Kian!L4</f>
        <v>3</v>
      </c>
      <c r="I4" s="12">
        <f>Mick!L4</f>
        <v>0</v>
      </c>
      <c r="J4" s="12">
        <f>Owen!L4</f>
        <v>0</v>
      </c>
      <c r="K4" s="12">
        <f>Reddy!L4</f>
        <v>0</v>
      </c>
      <c r="L4" s="12">
        <f>Garret!L4</f>
        <v>3</v>
      </c>
      <c r="M4" s="12">
        <f>Mac!L4</f>
        <v>1</v>
      </c>
      <c r="N4" s="12">
        <f>'Noonan '!L4</f>
        <v>0</v>
      </c>
    </row>
    <row r="5">
      <c r="A5" s="14">
        <f>Results!B4</f>
        <v>46186</v>
      </c>
      <c r="B5" s="15">
        <f>Results!C4</f>
        <v>0.08333333333</v>
      </c>
      <c r="C5" t="str">
        <f>Results!D4</f>
        <v>Group D</v>
      </c>
      <c r="D5" t="str">
        <f>Results!E4</f>
        <v>USA</v>
      </c>
      <c r="E5" s="12" t="str">
        <f>Results!I4</f>
        <v>4-1</v>
      </c>
      <c r="F5" t="str">
        <f>Results!H4</f>
        <v>Paraguay</v>
      </c>
      <c r="G5" s="12">
        <f>Daithi!L5</f>
        <v>1</v>
      </c>
      <c r="H5" s="12">
        <f>Kian!L5</f>
        <v>0</v>
      </c>
      <c r="I5" s="12">
        <f>Mick!L5</f>
        <v>1</v>
      </c>
      <c r="J5" s="12">
        <f>Owen!L5</f>
        <v>0</v>
      </c>
      <c r="K5" s="12">
        <f>Reddy!L5</f>
        <v>1</v>
      </c>
      <c r="L5" s="12">
        <f>Garret!L5</f>
        <v>0</v>
      </c>
      <c r="M5" s="12">
        <f>Mac!L5</f>
        <v>1</v>
      </c>
      <c r="N5" s="12">
        <f>'Noonan '!L5</f>
        <v>1</v>
      </c>
    </row>
    <row r="6">
      <c r="A6" s="14">
        <f>Results!B5</f>
        <v>46186</v>
      </c>
      <c r="B6" s="15">
        <f>Results!C5</f>
        <v>0.8333333333</v>
      </c>
      <c r="C6" t="str">
        <f>Results!D5</f>
        <v>Group B</v>
      </c>
      <c r="D6" t="str">
        <f>Results!E5</f>
        <v>Qatar</v>
      </c>
      <c r="E6" s="12" t="str">
        <f>Results!I5</f>
        <v>1-1</v>
      </c>
      <c r="F6" t="str">
        <f>Results!H5</f>
        <v>Switzerland</v>
      </c>
      <c r="G6" s="12">
        <f>Daithi!L6</f>
        <v>0</v>
      </c>
      <c r="H6" s="12">
        <f>Kian!L6</f>
        <v>0</v>
      </c>
      <c r="I6" s="12">
        <f>Mick!L6</f>
        <v>0</v>
      </c>
      <c r="J6" s="12">
        <f>Owen!L6</f>
        <v>0</v>
      </c>
      <c r="K6" s="12">
        <f>Reddy!L6</f>
        <v>0</v>
      </c>
      <c r="L6" s="12">
        <f>Garret!L6</f>
        <v>0</v>
      </c>
      <c r="M6" s="12">
        <f>Mac!L6</f>
        <v>0</v>
      </c>
      <c r="N6" s="12">
        <f>'Noonan '!L6</f>
        <v>0</v>
      </c>
    </row>
    <row r="7">
      <c r="A7" s="14">
        <f>Results!B6</f>
        <v>46186</v>
      </c>
      <c r="B7" s="15">
        <f>Results!C6</f>
        <v>0.9583333333</v>
      </c>
      <c r="C7" t="str">
        <f>Results!D6</f>
        <v>Group C</v>
      </c>
      <c r="D7" t="str">
        <f>Results!E6</f>
        <v>Brazil</v>
      </c>
      <c r="E7" s="12" t="str">
        <f>Results!I6</f>
        <v>1-1</v>
      </c>
      <c r="F7" t="str">
        <f>Results!H6</f>
        <v>Morocco</v>
      </c>
      <c r="G7" s="12">
        <f>Daithi!L7</f>
        <v>0</v>
      </c>
      <c r="H7" s="12">
        <f>Kian!L7</f>
        <v>3</v>
      </c>
      <c r="I7" s="12">
        <f>Mick!L7</f>
        <v>0</v>
      </c>
      <c r="J7" s="12">
        <f>Owen!L7</f>
        <v>0</v>
      </c>
      <c r="K7" s="12">
        <f>Reddy!L7</f>
        <v>0</v>
      </c>
      <c r="L7" s="12">
        <f>Garret!L7</f>
        <v>0</v>
      </c>
      <c r="M7" s="12">
        <f>Mac!L7</f>
        <v>0</v>
      </c>
      <c r="N7" s="12">
        <f>'Noonan '!L7</f>
        <v>3</v>
      </c>
    </row>
    <row r="8">
      <c r="A8" s="14">
        <f>Results!B7</f>
        <v>46187</v>
      </c>
      <c r="B8" s="15">
        <f>Results!C7</f>
        <v>0.08333333333</v>
      </c>
      <c r="C8" t="str">
        <f>Results!D7</f>
        <v>Group C</v>
      </c>
      <c r="D8" t="str">
        <f>Results!E7</f>
        <v>Haiti</v>
      </c>
      <c r="E8" s="12" t="str">
        <f>Results!I7</f>
        <v>0-1</v>
      </c>
      <c r="F8" t="str">
        <f>Results!H7</f>
        <v>Scotland</v>
      </c>
      <c r="G8" s="12">
        <f>Daithi!L8</f>
        <v>1</v>
      </c>
      <c r="H8" s="12">
        <f>Kian!L8</f>
        <v>1</v>
      </c>
      <c r="I8" s="12">
        <f>Mick!L8</f>
        <v>1</v>
      </c>
      <c r="J8" s="12">
        <f>Owen!L8</f>
        <v>1</v>
      </c>
      <c r="K8" s="12">
        <f>Reddy!L8</f>
        <v>1</v>
      </c>
      <c r="L8" s="12">
        <f>Garret!L8</f>
        <v>1</v>
      </c>
      <c r="M8" s="12">
        <f>Mac!L8</f>
        <v>1</v>
      </c>
      <c r="N8" s="12">
        <f>'Noonan '!L8</f>
        <v>1</v>
      </c>
    </row>
    <row r="9">
      <c r="A9" s="14">
        <f>Results!B8</f>
        <v>46187</v>
      </c>
      <c r="B9" s="15">
        <f>Results!C8</f>
        <v>0.2083333333</v>
      </c>
      <c r="C9" t="str">
        <f>Results!D8</f>
        <v>Group D</v>
      </c>
      <c r="D9" t="str">
        <f>Results!E8</f>
        <v>Australia</v>
      </c>
      <c r="E9" s="12" t="str">
        <f>Results!I8</f>
        <v>2-0</v>
      </c>
      <c r="F9" t="str">
        <f>Results!H8</f>
        <v>Türkiye</v>
      </c>
      <c r="G9" s="12">
        <f>Daithi!L9</f>
        <v>0</v>
      </c>
      <c r="H9" s="12">
        <f>Kian!L9</f>
        <v>0</v>
      </c>
      <c r="I9" s="12">
        <f>Mick!L9</f>
        <v>0</v>
      </c>
      <c r="J9" s="12">
        <f>Owen!L9</f>
        <v>0</v>
      </c>
      <c r="K9" s="12">
        <f>Reddy!L9</f>
        <v>0</v>
      </c>
      <c r="L9" s="12">
        <f>Garret!L9</f>
        <v>0</v>
      </c>
      <c r="M9" s="12">
        <f>Mac!L9</f>
        <v>0</v>
      </c>
      <c r="N9" s="12">
        <f>'Noonan '!L9</f>
        <v>0</v>
      </c>
    </row>
    <row r="10">
      <c r="A10" s="14">
        <f>Results!B9</f>
        <v>46187</v>
      </c>
      <c r="B10" s="15">
        <f>Results!C9</f>
        <v>0.75</v>
      </c>
      <c r="C10" t="str">
        <f>Results!D9</f>
        <v>Group E</v>
      </c>
      <c r="D10" t="str">
        <f>Results!E9</f>
        <v>Germany</v>
      </c>
      <c r="E10" s="12" t="str">
        <f>Results!I9</f>
        <v>7-1</v>
      </c>
      <c r="F10" t="str">
        <f>Results!H9</f>
        <v>Curaçao</v>
      </c>
      <c r="G10" s="12">
        <f>Daithi!L10</f>
        <v>1</v>
      </c>
      <c r="H10" s="12">
        <f>Kian!L10</f>
        <v>1</v>
      </c>
      <c r="I10" s="12">
        <f>Mick!L10</f>
        <v>1</v>
      </c>
      <c r="J10" s="12">
        <f>Owen!L10</f>
        <v>1</v>
      </c>
      <c r="K10" s="12">
        <f>Reddy!L10</f>
        <v>1</v>
      </c>
      <c r="L10" s="12">
        <f>Garret!L10</f>
        <v>1</v>
      </c>
      <c r="M10" s="12">
        <f>Mac!L10</f>
        <v>1</v>
      </c>
      <c r="N10" s="12">
        <f>'Noonan '!L10</f>
        <v>1</v>
      </c>
    </row>
    <row r="11">
      <c r="A11" s="14">
        <f>Results!B10</f>
        <v>46187</v>
      </c>
      <c r="B11" s="15">
        <f>Results!C10</f>
        <v>0.875</v>
      </c>
      <c r="C11" t="str">
        <f>Results!D10</f>
        <v>Group F</v>
      </c>
      <c r="D11" t="str">
        <f>Results!E10</f>
        <v>Netherlands</v>
      </c>
      <c r="E11" s="12" t="str">
        <f>Results!I10</f>
        <v>2-2</v>
      </c>
      <c r="F11" t="str">
        <f>Results!H10</f>
        <v>Japan</v>
      </c>
      <c r="G11" s="12">
        <f>Daithi!L11</f>
        <v>0</v>
      </c>
      <c r="H11" s="12">
        <f>Kian!L11</f>
        <v>0</v>
      </c>
      <c r="I11" s="12">
        <f>Mick!L11</f>
        <v>0</v>
      </c>
      <c r="J11" s="12">
        <f>Owen!L11</f>
        <v>0</v>
      </c>
      <c r="K11" s="12">
        <f>Reddy!L11</f>
        <v>0</v>
      </c>
      <c r="L11" s="12">
        <f>Garret!L11</f>
        <v>0</v>
      </c>
      <c r="M11" s="12">
        <f>Mac!L11</f>
        <v>1</v>
      </c>
      <c r="N11" s="12">
        <f>'Noonan '!L11</f>
        <v>1</v>
      </c>
    </row>
    <row r="12">
      <c r="A12" s="14">
        <f>Results!B11</f>
        <v>46188</v>
      </c>
      <c r="B12" s="15">
        <f>Results!C11</f>
        <v>0</v>
      </c>
      <c r="C12" t="str">
        <f>Results!D11</f>
        <v>Group E</v>
      </c>
      <c r="D12" t="str">
        <f>Results!E11</f>
        <v>Ivory Coast</v>
      </c>
      <c r="E12" s="12" t="str">
        <f>Results!I11</f>
        <v>1-0</v>
      </c>
      <c r="F12" t="str">
        <f>Results!H11</f>
        <v>Ecuador</v>
      </c>
      <c r="G12" s="12">
        <f>Daithi!L12</f>
        <v>0</v>
      </c>
      <c r="H12" s="12">
        <f>Kian!L12</f>
        <v>0</v>
      </c>
      <c r="I12" s="12">
        <f>Mick!L12</f>
        <v>0</v>
      </c>
      <c r="J12" s="12">
        <f>Owen!L12</f>
        <v>1</v>
      </c>
      <c r="K12" s="12">
        <f>Reddy!L12</f>
        <v>0</v>
      </c>
      <c r="L12" s="12">
        <f>Garret!L12</f>
        <v>0</v>
      </c>
      <c r="M12" s="12">
        <f>Mac!L12</f>
        <v>0</v>
      </c>
      <c r="N12" s="12">
        <f>'Noonan '!L12</f>
        <v>3</v>
      </c>
    </row>
    <row r="13">
      <c r="A13" s="14">
        <f>Results!B12</f>
        <v>46188</v>
      </c>
      <c r="B13" s="15">
        <f>Results!C12</f>
        <v>0.125</v>
      </c>
      <c r="C13" t="str">
        <f>Results!D12</f>
        <v>Group F</v>
      </c>
      <c r="D13" t="str">
        <f>Results!E12</f>
        <v>Sweden</v>
      </c>
      <c r="E13" s="12" t="str">
        <f>Results!I12</f>
        <v>5-1</v>
      </c>
      <c r="F13" t="str">
        <f>Results!H12</f>
        <v>Tunisia</v>
      </c>
      <c r="G13" s="12">
        <f>Daithi!L13</f>
        <v>1</v>
      </c>
      <c r="H13" s="12">
        <f>Kian!L13</f>
        <v>1</v>
      </c>
      <c r="I13" s="12">
        <f>Mick!L13</f>
        <v>1</v>
      </c>
      <c r="J13" s="12">
        <f>Owen!L13</f>
        <v>1</v>
      </c>
      <c r="K13" s="12">
        <f>Reddy!L13</f>
        <v>1</v>
      </c>
      <c r="L13" s="12">
        <f>Garret!L13</f>
        <v>0</v>
      </c>
      <c r="M13" s="12">
        <f>Mac!L13</f>
        <v>0</v>
      </c>
      <c r="N13" s="12">
        <f>'Noonan '!L13</f>
        <v>1</v>
      </c>
    </row>
    <row r="14">
      <c r="A14" s="14">
        <f>Results!B13</f>
        <v>46188</v>
      </c>
      <c r="B14" s="15">
        <f>Results!C13</f>
        <v>0.7083333333</v>
      </c>
      <c r="C14" t="str">
        <f>Results!D13</f>
        <v>Group H</v>
      </c>
      <c r="D14" t="str">
        <f>Results!E13</f>
        <v>Spain</v>
      </c>
      <c r="E14" s="12" t="str">
        <f>Results!I13</f>
        <v>0-0</v>
      </c>
      <c r="F14" t="str">
        <f>Results!H13</f>
        <v>Cape Verde</v>
      </c>
      <c r="G14" s="12">
        <f>Daithi!L14</f>
        <v>0</v>
      </c>
      <c r="H14" s="12">
        <f>Kian!L14</f>
        <v>0</v>
      </c>
      <c r="I14" s="12">
        <f>Mick!L14</f>
        <v>0</v>
      </c>
      <c r="J14" s="12">
        <f>Owen!L14</f>
        <v>0</v>
      </c>
      <c r="K14" s="12">
        <f>Reddy!L14</f>
        <v>0</v>
      </c>
      <c r="L14" s="12">
        <f>Garret!L14</f>
        <v>0</v>
      </c>
      <c r="M14" s="12">
        <f>Mac!L14</f>
        <v>0</v>
      </c>
      <c r="N14" s="12">
        <f>'Noonan '!L14</f>
        <v>0</v>
      </c>
    </row>
    <row r="15">
      <c r="A15" s="14">
        <f>Results!B14</f>
        <v>46188</v>
      </c>
      <c r="B15" s="15">
        <f>Results!C14</f>
        <v>0.8333333333</v>
      </c>
      <c r="C15" t="str">
        <f>Results!D14</f>
        <v>Group G</v>
      </c>
      <c r="D15" t="str">
        <f>Results!E14</f>
        <v>Belgium</v>
      </c>
      <c r="E15" s="12" t="str">
        <f>Results!I14</f>
        <v>1-1</v>
      </c>
      <c r="F15" t="str">
        <f>Results!H14</f>
        <v>Egypt</v>
      </c>
      <c r="G15" s="12">
        <f>Daithi!L15</f>
        <v>0</v>
      </c>
      <c r="H15" s="12">
        <f>Kian!L15</f>
        <v>0</v>
      </c>
      <c r="I15" s="12">
        <f>Mick!L15</f>
        <v>0</v>
      </c>
      <c r="J15" s="12">
        <f>Owen!L15</f>
        <v>3</v>
      </c>
      <c r="K15" s="12">
        <f>Reddy!L15</f>
        <v>0</v>
      </c>
      <c r="L15" s="12">
        <f>Garret!L15</f>
        <v>0</v>
      </c>
      <c r="M15" s="12">
        <f>Mac!L15</f>
        <v>3</v>
      </c>
      <c r="N15" s="12">
        <f>'Noonan '!L15</f>
        <v>3</v>
      </c>
    </row>
    <row r="16">
      <c r="A16" s="14">
        <f>Results!B15</f>
        <v>46188</v>
      </c>
      <c r="B16" s="15">
        <f>Results!C15</f>
        <v>0.9583333333</v>
      </c>
      <c r="C16" t="str">
        <f>Results!D15</f>
        <v>Group H</v>
      </c>
      <c r="D16" t="str">
        <f>Results!E15</f>
        <v>Saudi Arabia</v>
      </c>
      <c r="E16" s="12" t="str">
        <f>Results!I15</f>
        <v>1-1</v>
      </c>
      <c r="F16" t="str">
        <f>Results!H15</f>
        <v>Uruguay</v>
      </c>
      <c r="G16" s="12">
        <f>Daithi!L16</f>
        <v>0</v>
      </c>
      <c r="H16" s="12">
        <f>Kian!L16</f>
        <v>0</v>
      </c>
      <c r="I16" s="12">
        <f>Mick!L16</f>
        <v>0</v>
      </c>
      <c r="J16" s="12">
        <f>Owen!L16</f>
        <v>0</v>
      </c>
      <c r="K16" s="12">
        <f>Reddy!L16</f>
        <v>0</v>
      </c>
      <c r="L16" s="12">
        <f>Garret!L16</f>
        <v>0</v>
      </c>
      <c r="M16" s="12">
        <f>Mac!L16</f>
        <v>0</v>
      </c>
      <c r="N16" s="12">
        <f>'Noonan '!L16</f>
        <v>0</v>
      </c>
    </row>
    <row r="17">
      <c r="A17" s="14">
        <f>Results!B16</f>
        <v>46189</v>
      </c>
      <c r="B17" s="15">
        <f>Results!C16</f>
        <v>0.08333333333</v>
      </c>
      <c r="C17" t="str">
        <f>Results!D16</f>
        <v>Group G</v>
      </c>
      <c r="D17" t="str">
        <f>Results!E16</f>
        <v>Iran</v>
      </c>
      <c r="E17" s="12" t="str">
        <f>Results!I16</f>
        <v>2-2</v>
      </c>
      <c r="F17" t="str">
        <f>Results!H16</f>
        <v>New Zealand</v>
      </c>
      <c r="G17" s="12">
        <f>Daithi!L17</f>
        <v>1</v>
      </c>
      <c r="H17" s="12">
        <f>Kian!L17</f>
        <v>0</v>
      </c>
      <c r="I17" s="12">
        <f>Mick!L17</f>
        <v>0</v>
      </c>
      <c r="J17" s="12">
        <f>Owen!L17</f>
        <v>1</v>
      </c>
      <c r="K17" s="12">
        <f>Reddy!L17</f>
        <v>0</v>
      </c>
      <c r="L17" s="12">
        <f>Garret!L17</f>
        <v>0</v>
      </c>
      <c r="M17" s="12">
        <f>Mac!L17</f>
        <v>1</v>
      </c>
      <c r="N17" s="12">
        <f>'Noonan '!L17</f>
        <v>0</v>
      </c>
    </row>
    <row r="18">
      <c r="A18" s="14">
        <f>Results!B17</f>
        <v>46189</v>
      </c>
      <c r="B18" s="15">
        <f>Results!C17</f>
        <v>0.8333333333</v>
      </c>
      <c r="C18" t="str">
        <f>Results!D17</f>
        <v>Group I</v>
      </c>
      <c r="D18" t="str">
        <f>Results!E17</f>
        <v>France</v>
      </c>
      <c r="E18" s="12" t="str">
        <f>Results!I17</f>
        <v>3-1</v>
      </c>
      <c r="F18" t="str">
        <f>Results!H17</f>
        <v>Senegal</v>
      </c>
      <c r="G18" s="12">
        <f>Daithi!L18</f>
        <v>1</v>
      </c>
      <c r="H18" s="12">
        <f>Kian!L18</f>
        <v>0</v>
      </c>
      <c r="I18" s="12">
        <f>Mick!L18</f>
        <v>1</v>
      </c>
      <c r="J18" s="12">
        <f>Owen!L18</f>
        <v>3</v>
      </c>
      <c r="K18" s="12">
        <f>Reddy!L18</f>
        <v>1</v>
      </c>
      <c r="L18" s="12">
        <f>Garret!L18</f>
        <v>1</v>
      </c>
      <c r="M18" s="12">
        <f>Mac!L18</f>
        <v>3</v>
      </c>
      <c r="N18" s="12">
        <f>'Noonan '!L18</f>
        <v>1</v>
      </c>
    </row>
    <row r="19">
      <c r="A19" s="14">
        <f>Results!B18</f>
        <v>46189</v>
      </c>
      <c r="B19" s="15">
        <f>Results!C18</f>
        <v>0.9583333333</v>
      </c>
      <c r="C19" t="str">
        <f>Results!D18</f>
        <v>Group I</v>
      </c>
      <c r="D19" t="str">
        <f>Results!E18</f>
        <v>Iraq</v>
      </c>
      <c r="E19" s="12" t="str">
        <f>Results!I18</f>
        <v>1-4</v>
      </c>
      <c r="F19" t="str">
        <f>Results!H18</f>
        <v>Norway</v>
      </c>
      <c r="G19" s="12">
        <f>Daithi!L19</f>
        <v>1</v>
      </c>
      <c r="H19" s="12">
        <f>Kian!L19</f>
        <v>1</v>
      </c>
      <c r="I19" s="12">
        <f>Mick!L19</f>
        <v>1</v>
      </c>
      <c r="J19" s="12">
        <f>Owen!L19</f>
        <v>1</v>
      </c>
      <c r="K19" s="12">
        <f>Reddy!L19</f>
        <v>1</v>
      </c>
      <c r="L19" s="12">
        <f>Garret!L19</f>
        <v>1</v>
      </c>
      <c r="M19" s="12">
        <f>Mac!L19</f>
        <v>1</v>
      </c>
      <c r="N19" s="12">
        <f>'Noonan '!L19</f>
        <v>1</v>
      </c>
    </row>
    <row r="20">
      <c r="A20" s="14">
        <f>Results!B19</f>
        <v>46190</v>
      </c>
      <c r="B20" s="15">
        <f>Results!C19</f>
        <v>0.08333333333</v>
      </c>
      <c r="C20" t="str">
        <f>Results!D19</f>
        <v>Group J</v>
      </c>
      <c r="D20" t="str">
        <f>Results!E19</f>
        <v>Argentina</v>
      </c>
      <c r="E20" s="12" t="str">
        <f>Results!I19</f>
        <v>3-0</v>
      </c>
      <c r="F20" t="str">
        <f>Results!H19</f>
        <v>Algeria</v>
      </c>
      <c r="G20" s="12">
        <f>Daithi!L20</f>
        <v>1</v>
      </c>
      <c r="H20" s="12">
        <f>Kian!L20</f>
        <v>1</v>
      </c>
      <c r="I20" s="12">
        <f>Mick!L20</f>
        <v>3</v>
      </c>
      <c r="J20" s="12">
        <f>Owen!L20</f>
        <v>1</v>
      </c>
      <c r="K20" s="12">
        <f>Reddy!L20</f>
        <v>1</v>
      </c>
      <c r="L20" s="12">
        <f>Garret!L20</f>
        <v>1</v>
      </c>
      <c r="M20" s="12">
        <f>Mac!L20</f>
        <v>1</v>
      </c>
      <c r="N20" s="12">
        <f>'Noonan '!L20</f>
        <v>0</v>
      </c>
    </row>
    <row r="21">
      <c r="A21" s="14">
        <f>Results!B20</f>
        <v>46190</v>
      </c>
      <c r="B21" s="15">
        <f>Results!C20</f>
        <v>0.2083333333</v>
      </c>
      <c r="C21" t="str">
        <f>Results!D20</f>
        <v>Group J</v>
      </c>
      <c r="D21" t="str">
        <f>Results!E20</f>
        <v>Austria</v>
      </c>
      <c r="E21" s="12" t="str">
        <f>Results!I20</f>
        <v>3-1</v>
      </c>
      <c r="F21" t="str">
        <f>Results!H20</f>
        <v>Jordan</v>
      </c>
      <c r="G21" s="12">
        <f>Daithi!L21</f>
        <v>1</v>
      </c>
      <c r="H21" s="12">
        <f>Kian!L21</f>
        <v>1</v>
      </c>
      <c r="I21" s="12">
        <f>Mick!L21</f>
        <v>1</v>
      </c>
      <c r="J21" s="12">
        <f>Owen!L21</f>
        <v>1</v>
      </c>
      <c r="K21" s="12">
        <f>Reddy!L21</f>
        <v>1</v>
      </c>
      <c r="L21" s="12">
        <f>Garret!L21</f>
        <v>1</v>
      </c>
      <c r="M21" s="12">
        <f>Mac!L21</f>
        <v>1</v>
      </c>
      <c r="N21" s="12">
        <f>'Noonan '!L21</f>
        <v>1</v>
      </c>
    </row>
    <row r="22">
      <c r="A22" s="14">
        <f>Results!B21</f>
        <v>46190</v>
      </c>
      <c r="B22" s="15">
        <f>Results!C21</f>
        <v>0.75</v>
      </c>
      <c r="C22" t="str">
        <f>Results!D21</f>
        <v>Group K</v>
      </c>
      <c r="D22" t="str">
        <f>Results!E21</f>
        <v>Portugal</v>
      </c>
      <c r="E22" s="12" t="str">
        <f>Results!I21</f>
        <v>1-1</v>
      </c>
      <c r="F22" t="str">
        <f>Results!H21</f>
        <v>Congo DR</v>
      </c>
      <c r="G22" s="12">
        <f>Daithi!L22</f>
        <v>0</v>
      </c>
      <c r="H22" s="12">
        <f>Kian!L22</f>
        <v>0</v>
      </c>
      <c r="I22" s="12">
        <f>Mick!L22</f>
        <v>0</v>
      </c>
      <c r="J22" s="12">
        <f>Owen!L22</f>
        <v>0</v>
      </c>
      <c r="K22" s="12">
        <f>Reddy!L22</f>
        <v>0</v>
      </c>
      <c r="L22" s="12">
        <f>Garret!L22</f>
        <v>0</v>
      </c>
      <c r="M22" s="12">
        <f>Mac!L22</f>
        <v>0</v>
      </c>
      <c r="N22" s="12">
        <f>'Noonan '!L22</f>
        <v>0</v>
      </c>
    </row>
    <row r="23">
      <c r="A23" s="14">
        <f>Results!B22</f>
        <v>46190</v>
      </c>
      <c r="B23" s="15">
        <f>Results!C22</f>
        <v>0.875</v>
      </c>
      <c r="C23" t="str">
        <f>Results!D22</f>
        <v>Group L</v>
      </c>
      <c r="D23" t="str">
        <f>Results!E22</f>
        <v>England</v>
      </c>
      <c r="E23" s="12" t="str">
        <f>Results!I22</f>
        <v>4-2</v>
      </c>
      <c r="F23" t="str">
        <f>Results!H22</f>
        <v>Croatia</v>
      </c>
      <c r="G23" s="12">
        <f>Daithi!L23</f>
        <v>1</v>
      </c>
      <c r="H23" s="12">
        <f>Kian!L23</f>
        <v>0</v>
      </c>
      <c r="I23" s="12">
        <f>Mick!L23</f>
        <v>1</v>
      </c>
      <c r="J23" s="12">
        <f>Owen!L23</f>
        <v>0</v>
      </c>
      <c r="K23" s="12">
        <f>Reddy!L23</f>
        <v>1</v>
      </c>
      <c r="L23" s="12">
        <f>Garret!L23</f>
        <v>0</v>
      </c>
      <c r="M23" s="12">
        <f>Mac!L23</f>
        <v>1</v>
      </c>
      <c r="N23" s="12">
        <f>'Noonan '!L23</f>
        <v>1</v>
      </c>
    </row>
    <row r="24">
      <c r="A24" s="14">
        <f>Results!B23</f>
        <v>46191</v>
      </c>
      <c r="B24" s="15">
        <f>Results!C23</f>
        <v>0</v>
      </c>
      <c r="C24" t="str">
        <f>Results!D23</f>
        <v>Group L</v>
      </c>
      <c r="D24" t="str">
        <f>Results!E23</f>
        <v>Ghana</v>
      </c>
      <c r="E24" s="12" t="str">
        <f>Results!I23</f>
        <v>1-0</v>
      </c>
      <c r="F24" t="str">
        <f>Results!H23</f>
        <v>Panama</v>
      </c>
      <c r="G24" s="12">
        <f>Daithi!L24</f>
        <v>3</v>
      </c>
      <c r="H24" s="12">
        <f>Kian!L24</f>
        <v>1</v>
      </c>
      <c r="I24" s="12">
        <f>Mick!L24</f>
        <v>1</v>
      </c>
      <c r="J24" s="12">
        <f>Owen!L24</f>
        <v>3</v>
      </c>
      <c r="K24" s="12">
        <f>Reddy!L24</f>
        <v>1</v>
      </c>
      <c r="L24" s="12">
        <f>Garret!L24</f>
        <v>1</v>
      </c>
      <c r="M24" s="12">
        <f>Mac!L24</f>
        <v>0</v>
      </c>
      <c r="N24" s="12">
        <f>'Noonan '!L24</f>
        <v>0</v>
      </c>
    </row>
    <row r="25">
      <c r="A25" s="14">
        <f>Results!B24</f>
        <v>46191</v>
      </c>
      <c r="B25" s="15">
        <f>Results!C24</f>
        <v>0.125</v>
      </c>
      <c r="C25" t="str">
        <f>Results!D24</f>
        <v>Group K</v>
      </c>
      <c r="D25" t="str">
        <f>Results!E24</f>
        <v>Uzbekistan</v>
      </c>
      <c r="E25" s="12" t="str">
        <f>Results!I24</f>
        <v>1-3</v>
      </c>
      <c r="F25" t="str">
        <f>Results!H24</f>
        <v>Colombia</v>
      </c>
      <c r="G25" s="12">
        <f>Daithi!L25</f>
        <v>0</v>
      </c>
      <c r="H25" s="12">
        <f>Kian!L25</f>
        <v>0</v>
      </c>
      <c r="I25" s="12">
        <f>Mick!L25</f>
        <v>1</v>
      </c>
      <c r="J25" s="12">
        <f>Owen!L25</f>
        <v>1</v>
      </c>
      <c r="K25" s="12">
        <f>Reddy!L25</f>
        <v>1</v>
      </c>
      <c r="L25" s="12">
        <f>Garret!L25</f>
        <v>1</v>
      </c>
      <c r="M25" s="12">
        <f>Mac!L25</f>
        <v>3</v>
      </c>
      <c r="N25" s="12">
        <f>'Noonan '!L25</f>
        <v>1</v>
      </c>
    </row>
    <row r="26">
      <c r="A26" s="14">
        <f>Results!B25</f>
        <v>46191</v>
      </c>
      <c r="B26" s="15">
        <f>Results!C25</f>
        <v>0.7083333333</v>
      </c>
      <c r="C26" t="str">
        <f>Results!D25</f>
        <v>Group A</v>
      </c>
      <c r="D26" t="str">
        <f>Results!E25</f>
        <v>Czechia</v>
      </c>
      <c r="E26" s="12" t="str">
        <f>Results!I25</f>
        <v>1-1</v>
      </c>
      <c r="F26" t="str">
        <f>Results!H25</f>
        <v>South Africa</v>
      </c>
      <c r="G26" s="12">
        <f>Daithi!L26</f>
        <v>1</v>
      </c>
      <c r="H26" s="12">
        <f>Kian!L26</f>
        <v>1</v>
      </c>
      <c r="I26" s="12">
        <f>Mick!L26</f>
        <v>3</v>
      </c>
      <c r="J26" s="12">
        <f>Owen!L26</f>
        <v>0</v>
      </c>
      <c r="K26" s="12">
        <f>Reddy!L26</f>
        <v>0</v>
      </c>
      <c r="L26" s="12">
        <f>Garret!L26</f>
        <v>0</v>
      </c>
      <c r="M26" s="12">
        <f>Mac!L26</f>
        <v>0</v>
      </c>
      <c r="N26" s="12">
        <f>'Noonan '!L26</f>
        <v>3</v>
      </c>
    </row>
    <row r="27">
      <c r="A27" s="14">
        <f>Results!B26</f>
        <v>46191</v>
      </c>
      <c r="B27" s="15">
        <f>Results!C26</f>
        <v>0.8333333333</v>
      </c>
      <c r="C27" t="str">
        <f>Results!D26</f>
        <v>Group B</v>
      </c>
      <c r="D27" t="str">
        <f>Results!E26</f>
        <v>Switzerland</v>
      </c>
      <c r="E27" s="12" t="str">
        <f>Results!I26</f>
        <v>4-1</v>
      </c>
      <c r="F27" t="str">
        <f>Results!H26</f>
        <v>Bosnia and Herzegovina</v>
      </c>
      <c r="G27" s="12">
        <f>Daithi!L27</f>
        <v>0</v>
      </c>
      <c r="H27" s="12">
        <f>Kian!L27</f>
        <v>1</v>
      </c>
      <c r="I27" s="12">
        <f>Mick!L27</f>
        <v>1</v>
      </c>
      <c r="J27" s="12">
        <f>Owen!L27</f>
        <v>1</v>
      </c>
      <c r="K27" s="12">
        <f>Reddy!L27</f>
        <v>1</v>
      </c>
      <c r="L27" s="12">
        <f>Garret!L27</f>
        <v>1</v>
      </c>
      <c r="M27" s="12">
        <f>Mac!L27</f>
        <v>0</v>
      </c>
      <c r="N27" s="12">
        <f>'Noonan '!L27</f>
        <v>1</v>
      </c>
    </row>
    <row r="28">
      <c r="A28" s="14">
        <f>Results!B27</f>
        <v>46191</v>
      </c>
      <c r="B28" s="15">
        <f>Results!C27</f>
        <v>0.9583333333</v>
      </c>
      <c r="C28" t="str">
        <f>Results!D27</f>
        <v>Group B</v>
      </c>
      <c r="D28" t="str">
        <f>Results!E27</f>
        <v>Canada</v>
      </c>
      <c r="E28" s="12" t="str">
        <f>Results!I27</f>
        <v>3-0</v>
      </c>
      <c r="F28" t="str">
        <f>Results!H27</f>
        <v>Qatar</v>
      </c>
      <c r="G28" s="12">
        <f>Daithi!L28</f>
        <v>1</v>
      </c>
      <c r="H28" s="12">
        <f>Kian!L28</f>
        <v>1</v>
      </c>
      <c r="I28" s="12">
        <f>Mick!L28</f>
        <v>1</v>
      </c>
      <c r="J28" s="12">
        <f>Owen!L28</f>
        <v>1</v>
      </c>
      <c r="K28" s="12">
        <f>Reddy!L28</f>
        <v>1</v>
      </c>
      <c r="L28" s="12">
        <f>Garret!L28</f>
        <v>1</v>
      </c>
      <c r="M28" s="12">
        <f>Mac!L28</f>
        <v>1</v>
      </c>
      <c r="N28" s="12">
        <f>'Noonan '!L28</f>
        <v>1</v>
      </c>
    </row>
    <row r="29">
      <c r="A29" s="14">
        <f>Results!B28</f>
        <v>46192</v>
      </c>
      <c r="B29" s="15">
        <f>Results!C28</f>
        <v>0.08333333333</v>
      </c>
      <c r="C29" t="str">
        <f>Results!D28</f>
        <v>Group A</v>
      </c>
      <c r="D29" t="str">
        <f>Results!E28</f>
        <v>Mexico</v>
      </c>
      <c r="E29" s="12" t="str">
        <f>Results!I28</f>
        <v>1-0</v>
      </c>
      <c r="F29" t="str">
        <f>Results!H28</f>
        <v>South Korea</v>
      </c>
      <c r="G29" s="12">
        <f>Daithi!L29</f>
        <v>1</v>
      </c>
      <c r="H29" s="12">
        <f>Kian!L29</f>
        <v>0</v>
      </c>
      <c r="I29" s="12">
        <f>Mick!L29</f>
        <v>0</v>
      </c>
      <c r="J29" s="12">
        <f>Owen!L29</f>
        <v>0</v>
      </c>
      <c r="K29" s="12">
        <f>Reddy!L29</f>
        <v>0</v>
      </c>
      <c r="L29" s="12">
        <f>Garret!L29</f>
        <v>0</v>
      </c>
      <c r="M29" s="12">
        <f>Mac!L29</f>
        <v>1</v>
      </c>
      <c r="N29" s="12">
        <f>'Noonan '!L29</f>
        <v>0</v>
      </c>
    </row>
    <row r="30">
      <c r="A30" s="14">
        <f>Results!B29</f>
        <v>46192</v>
      </c>
      <c r="B30" s="15">
        <f>Results!C29</f>
        <v>0.8333333333</v>
      </c>
      <c r="C30" t="str">
        <f>Results!D29</f>
        <v>Group D</v>
      </c>
      <c r="D30" t="str">
        <f>Results!E29</f>
        <v>USA</v>
      </c>
      <c r="E30" s="12" t="str">
        <f>Results!I29</f>
        <v>2-0</v>
      </c>
      <c r="F30" t="str">
        <f>Results!H29</f>
        <v>Australia</v>
      </c>
      <c r="G30" s="12">
        <f>Daithi!L30</f>
        <v>3</v>
      </c>
      <c r="H30" s="12">
        <f>Kian!L30</f>
        <v>1</v>
      </c>
      <c r="I30" s="12">
        <f>Mick!L30</f>
        <v>3</v>
      </c>
      <c r="J30" s="12">
        <f>Owen!L30</f>
        <v>1</v>
      </c>
      <c r="K30" s="12">
        <f>Reddy!L30</f>
        <v>1</v>
      </c>
      <c r="L30" s="12">
        <f>Garret!L30</f>
        <v>1</v>
      </c>
      <c r="M30" s="12">
        <f>Mac!L30</f>
        <v>1</v>
      </c>
      <c r="N30" s="12">
        <f>'Noonan '!L30</f>
        <v>0</v>
      </c>
    </row>
    <row r="31">
      <c r="A31" s="14">
        <f>Results!B30</f>
        <v>46192</v>
      </c>
      <c r="B31" s="15">
        <f>Results!C30</f>
        <v>0.9583333333</v>
      </c>
      <c r="C31" t="str">
        <f>Results!D30</f>
        <v>Group C</v>
      </c>
      <c r="D31" t="str">
        <f>Results!E30</f>
        <v>Scotland</v>
      </c>
      <c r="E31" s="12" t="str">
        <f>Results!I30</f>
        <v>0-1</v>
      </c>
      <c r="F31" t="str">
        <f>Results!H30</f>
        <v>Morocco</v>
      </c>
      <c r="G31" s="12">
        <f>Daithi!L31</f>
        <v>1</v>
      </c>
      <c r="H31" s="12">
        <f>Kian!L31</f>
        <v>3</v>
      </c>
      <c r="I31" s="12">
        <f>Mick!L31</f>
        <v>1</v>
      </c>
      <c r="J31" s="12">
        <f>Owen!L31</f>
        <v>0</v>
      </c>
      <c r="K31" s="12">
        <f>Reddy!L31</f>
        <v>1</v>
      </c>
      <c r="L31" s="12">
        <f>Garret!L31</f>
        <v>0</v>
      </c>
      <c r="M31" s="12">
        <f>Mac!L31</f>
        <v>0</v>
      </c>
      <c r="N31" s="12">
        <f>'Noonan '!L31</f>
        <v>1</v>
      </c>
    </row>
    <row r="32">
      <c r="A32" s="14">
        <f>Results!B31</f>
        <v>46193</v>
      </c>
      <c r="B32" s="15">
        <f>Results!C31</f>
        <v>0.0625</v>
      </c>
      <c r="C32" t="str">
        <f>Results!D31</f>
        <v>Group C</v>
      </c>
      <c r="D32" t="str">
        <f>Results!E31</f>
        <v>Brazil</v>
      </c>
      <c r="E32" s="12" t="str">
        <f>Results!I31</f>
        <v>3-0</v>
      </c>
      <c r="F32" t="str">
        <f>Results!H31</f>
        <v>Haiti</v>
      </c>
      <c r="G32" s="12">
        <f>Daithi!L32</f>
        <v>3</v>
      </c>
      <c r="H32" s="12">
        <f>Kian!L32</f>
        <v>3</v>
      </c>
      <c r="I32" s="12">
        <f>Mick!L32</f>
        <v>1</v>
      </c>
      <c r="J32" s="12">
        <f>Owen!L32</f>
        <v>3</v>
      </c>
      <c r="K32" s="12">
        <f>Reddy!L32</f>
        <v>1</v>
      </c>
      <c r="L32" s="12">
        <f>Garret!L32</f>
        <v>3</v>
      </c>
      <c r="M32" s="12">
        <f>Mac!L32</f>
        <v>1</v>
      </c>
      <c r="N32" s="12">
        <f>'Noonan '!L32</f>
        <v>3</v>
      </c>
    </row>
    <row r="33">
      <c r="A33" s="14">
        <f>Results!B32</f>
        <v>46193</v>
      </c>
      <c r="B33" s="15">
        <f>Results!C32</f>
        <v>0.1666666667</v>
      </c>
      <c r="C33" t="str">
        <f>Results!D32</f>
        <v>Group D</v>
      </c>
      <c r="D33" t="str">
        <f>Results!E32</f>
        <v>Turkey</v>
      </c>
      <c r="E33" s="12" t="str">
        <f>Results!I32</f>
        <v>0-1</v>
      </c>
      <c r="F33" t="str">
        <f>Results!H32</f>
        <v>Paraguay</v>
      </c>
      <c r="G33" s="12">
        <f>Daithi!L33</f>
        <v>0</v>
      </c>
      <c r="H33" s="12">
        <f>Kian!L33</f>
        <v>0</v>
      </c>
      <c r="I33" s="12">
        <f>Mick!L33</f>
        <v>0</v>
      </c>
      <c r="J33" s="12">
        <f>Owen!L33</f>
        <v>0</v>
      </c>
      <c r="K33" s="12">
        <f>Reddy!L33</f>
        <v>0</v>
      </c>
      <c r="L33" s="12">
        <f>Garret!L33</f>
        <v>0</v>
      </c>
      <c r="M33" s="12">
        <f>Mac!L33</f>
        <v>0</v>
      </c>
      <c r="N33" s="12">
        <f>'Noonan '!L33</f>
        <v>0</v>
      </c>
    </row>
    <row r="34">
      <c r="A34" s="14">
        <f>Results!B33</f>
        <v>46193</v>
      </c>
      <c r="B34" s="15">
        <f>Results!C33</f>
        <v>0.75</v>
      </c>
      <c r="C34" t="str">
        <f>Results!D33</f>
        <v>Group F</v>
      </c>
      <c r="D34" t="str">
        <f>Results!E33</f>
        <v>Netherlands</v>
      </c>
      <c r="E34" s="12" t="str">
        <f>Results!I33</f>
        <v>-</v>
      </c>
      <c r="F34" t="str">
        <f>Results!H33</f>
        <v>Sweden</v>
      </c>
      <c r="G34" s="12">
        <f>Daithi!L34</f>
        <v>0</v>
      </c>
      <c r="H34" s="12">
        <f>Kian!L34</f>
        <v>0</v>
      </c>
      <c r="I34" s="12">
        <f>Mick!L34</f>
        <v>0</v>
      </c>
      <c r="J34" s="12">
        <f>Owen!L34</f>
        <v>0</v>
      </c>
      <c r="K34" s="12">
        <f>Reddy!L34</f>
        <v>0</v>
      </c>
      <c r="L34" s="12">
        <f>Garret!L34</f>
        <v>0</v>
      </c>
      <c r="M34" s="12">
        <f>Mac!L34</f>
        <v>0</v>
      </c>
      <c r="N34" s="12">
        <f>'Noonan '!L34</f>
        <v>0</v>
      </c>
    </row>
    <row r="35">
      <c r="A35" s="14">
        <f>Results!B34</f>
        <v>46193</v>
      </c>
      <c r="B35" s="15">
        <f>Results!C34</f>
        <v>0.875</v>
      </c>
      <c r="C35" t="str">
        <f>Results!D34</f>
        <v>Group E</v>
      </c>
      <c r="D35" t="str">
        <f>Results!E34</f>
        <v>Germany</v>
      </c>
      <c r="E35" s="12" t="str">
        <f>Results!I34</f>
        <v>-</v>
      </c>
      <c r="F35" t="str">
        <f>Results!H34</f>
        <v>Ivory Coast</v>
      </c>
      <c r="G35" s="12">
        <f>Daithi!L35</f>
        <v>0</v>
      </c>
      <c r="H35" s="12">
        <f>Kian!L35</f>
        <v>0</v>
      </c>
      <c r="I35" s="12">
        <f>Mick!L35</f>
        <v>0</v>
      </c>
      <c r="J35" s="12">
        <f>Owen!L35</f>
        <v>0</v>
      </c>
      <c r="K35" s="12">
        <f>Reddy!L35</f>
        <v>0</v>
      </c>
      <c r="L35" s="12">
        <f>Garret!L35</f>
        <v>0</v>
      </c>
      <c r="M35" s="12">
        <f>Mac!L35</f>
        <v>0</v>
      </c>
      <c r="N35" s="12">
        <f>'Noonan '!L35</f>
        <v>0</v>
      </c>
    </row>
    <row r="36">
      <c r="A36" s="14">
        <f>Results!B35</f>
        <v>46194</v>
      </c>
      <c r="B36" s="15">
        <f>Results!C35</f>
        <v>0.04166666667</v>
      </c>
      <c r="C36" t="str">
        <f>Results!D35</f>
        <v>Group E</v>
      </c>
      <c r="D36" t="str">
        <f>Results!E35</f>
        <v>Ecuador</v>
      </c>
      <c r="E36" s="12" t="str">
        <f>Results!I35</f>
        <v>-</v>
      </c>
      <c r="F36" t="str">
        <f>Results!H35</f>
        <v>Curaçao</v>
      </c>
      <c r="G36" s="12">
        <f>Daithi!L36</f>
        <v>0</v>
      </c>
      <c r="H36" s="12">
        <f>Kian!L36</f>
        <v>0</v>
      </c>
      <c r="I36" s="12">
        <f>Mick!L36</f>
        <v>0</v>
      </c>
      <c r="J36" s="12">
        <f>Owen!L36</f>
        <v>0</v>
      </c>
      <c r="K36" s="12">
        <f>Reddy!L36</f>
        <v>0</v>
      </c>
      <c r="L36" s="12">
        <f>Garret!L36</f>
        <v>0</v>
      </c>
      <c r="M36" s="12">
        <f>Mac!L36</f>
        <v>0</v>
      </c>
      <c r="N36" s="12">
        <f>'Noonan '!L36</f>
        <v>0</v>
      </c>
    </row>
    <row r="37">
      <c r="A37" s="14">
        <f>Results!B36</f>
        <v>46194</v>
      </c>
      <c r="B37" s="15">
        <f>Results!C36</f>
        <v>0.2083333333</v>
      </c>
      <c r="C37" t="str">
        <f>Results!D36</f>
        <v>Group F</v>
      </c>
      <c r="D37" t="str">
        <f>Results!E36</f>
        <v>Tunisia</v>
      </c>
      <c r="E37" s="12" t="str">
        <f>Results!I36</f>
        <v>-</v>
      </c>
      <c r="F37" t="str">
        <f>Results!H36</f>
        <v>Japan</v>
      </c>
      <c r="G37" s="12">
        <f>Daithi!L37</f>
        <v>0</v>
      </c>
      <c r="H37" s="12">
        <f>Kian!L37</f>
        <v>0</v>
      </c>
      <c r="I37" s="12">
        <f>Mick!L37</f>
        <v>0</v>
      </c>
      <c r="J37" s="12">
        <f>Owen!L37</f>
        <v>0</v>
      </c>
      <c r="K37" s="12">
        <f>Reddy!L37</f>
        <v>0</v>
      </c>
      <c r="L37" s="12">
        <f>Garret!L37</f>
        <v>0</v>
      </c>
      <c r="M37" s="12">
        <f>Mac!L37</f>
        <v>0</v>
      </c>
      <c r="N37" s="12">
        <f>'Noonan '!L37</f>
        <v>0</v>
      </c>
    </row>
    <row r="38">
      <c r="A38" s="14">
        <f>Results!B37</f>
        <v>46194</v>
      </c>
      <c r="B38" s="15">
        <f>Results!C37</f>
        <v>0.7083333333</v>
      </c>
      <c r="C38" t="str">
        <f>Results!D37</f>
        <v>Group H</v>
      </c>
      <c r="D38" t="str">
        <f>Results!E37</f>
        <v>Spain</v>
      </c>
      <c r="E38" s="12" t="str">
        <f>Results!I37</f>
        <v>-</v>
      </c>
      <c r="F38" t="str">
        <f>Results!H37</f>
        <v>Saudi Arabia</v>
      </c>
      <c r="G38" s="12">
        <f>Daithi!L38</f>
        <v>0</v>
      </c>
      <c r="H38" s="12">
        <f>Kian!L38</f>
        <v>0</v>
      </c>
      <c r="I38" s="12">
        <f>Mick!L38</f>
        <v>0</v>
      </c>
      <c r="J38" s="12">
        <f>Owen!L38</f>
        <v>0</v>
      </c>
      <c r="K38" s="12">
        <f>Reddy!L38</f>
        <v>0</v>
      </c>
      <c r="L38" s="12">
        <f>Garret!L38</f>
        <v>0</v>
      </c>
      <c r="M38" s="12">
        <f>Mac!L38</f>
        <v>0</v>
      </c>
      <c r="N38" s="12">
        <f>'Noonan '!L38</f>
        <v>0</v>
      </c>
    </row>
    <row r="39">
      <c r="A39" s="14">
        <f>Results!B38</f>
        <v>46194</v>
      </c>
      <c r="B39" s="15">
        <f>Results!C38</f>
        <v>0.8333333333</v>
      </c>
      <c r="C39" t="str">
        <f>Results!D38</f>
        <v>Group G</v>
      </c>
      <c r="D39" t="str">
        <f>Results!E38</f>
        <v>Belgium</v>
      </c>
      <c r="E39" s="12" t="str">
        <f>Results!I38</f>
        <v>-</v>
      </c>
      <c r="F39" t="str">
        <f>Results!H38</f>
        <v>Iran</v>
      </c>
      <c r="G39" s="12">
        <f>Daithi!L39</f>
        <v>0</v>
      </c>
      <c r="H39" s="12">
        <f>Kian!L39</f>
        <v>0</v>
      </c>
      <c r="I39" s="12">
        <f>Mick!L39</f>
        <v>0</v>
      </c>
      <c r="J39" s="12">
        <f>Owen!L39</f>
        <v>0</v>
      </c>
      <c r="K39" s="12">
        <f>Reddy!L39</f>
        <v>0</v>
      </c>
      <c r="L39" s="12">
        <f>Garret!L39</f>
        <v>0</v>
      </c>
      <c r="M39" s="12">
        <f>Mac!L39</f>
        <v>0</v>
      </c>
      <c r="N39" s="12">
        <f>'Noonan '!L39</f>
        <v>0</v>
      </c>
    </row>
    <row r="40">
      <c r="A40" s="14">
        <f>Results!B39</f>
        <v>46194</v>
      </c>
      <c r="B40" s="15">
        <f>Results!C39</f>
        <v>0.9583333333</v>
      </c>
      <c r="C40" t="str">
        <f>Results!D39</f>
        <v>Group H</v>
      </c>
      <c r="D40" t="str">
        <f>Results!E39</f>
        <v>Uruguay</v>
      </c>
      <c r="E40" s="12" t="str">
        <f>Results!I39</f>
        <v>-</v>
      </c>
      <c r="F40" t="str">
        <f>Results!H39</f>
        <v>Cape Verde</v>
      </c>
      <c r="G40" s="12">
        <f>Daithi!L40</f>
        <v>0</v>
      </c>
      <c r="H40" s="12">
        <f>Kian!L40</f>
        <v>0</v>
      </c>
      <c r="I40" s="12">
        <f>Mick!L40</f>
        <v>0</v>
      </c>
      <c r="J40" s="12">
        <f>Owen!L40</f>
        <v>0</v>
      </c>
      <c r="K40" s="12">
        <f>Reddy!L40</f>
        <v>0</v>
      </c>
      <c r="L40" s="12">
        <f>Garret!L40</f>
        <v>0</v>
      </c>
      <c r="M40" s="12">
        <f>Mac!L40</f>
        <v>0</v>
      </c>
      <c r="N40" s="12">
        <f>'Noonan '!L40</f>
        <v>0</v>
      </c>
    </row>
    <row r="41">
      <c r="A41" s="14">
        <f>Results!B40</f>
        <v>46195</v>
      </c>
      <c r="B41" s="15">
        <f>Results!C40</f>
        <v>0.08333333333</v>
      </c>
      <c r="C41" t="str">
        <f>Results!D40</f>
        <v>Group G</v>
      </c>
      <c r="D41" t="str">
        <f>Results!E40</f>
        <v>New Zealand</v>
      </c>
      <c r="E41" s="12" t="str">
        <f>Results!I40</f>
        <v>-</v>
      </c>
      <c r="F41" t="str">
        <f>Results!H40</f>
        <v>Egypt</v>
      </c>
      <c r="G41" s="12">
        <f>Daithi!L41</f>
        <v>0</v>
      </c>
      <c r="H41" s="12">
        <f>Kian!L41</f>
        <v>0</v>
      </c>
      <c r="I41" s="12">
        <f>Mick!L41</f>
        <v>0</v>
      </c>
      <c r="J41" s="12">
        <f>Owen!L41</f>
        <v>0</v>
      </c>
      <c r="K41" s="12">
        <f>Reddy!L41</f>
        <v>0</v>
      </c>
      <c r="L41" s="12">
        <f>Garret!L41</f>
        <v>0</v>
      </c>
      <c r="M41" s="12">
        <f>Mac!L41</f>
        <v>0</v>
      </c>
      <c r="N41" s="12">
        <f>'Noonan '!L41</f>
        <v>0</v>
      </c>
    </row>
    <row r="42">
      <c r="A42" s="14">
        <f>Results!B41</f>
        <v>46195</v>
      </c>
      <c r="B42" s="15">
        <f>Results!C41</f>
        <v>0.7916666667</v>
      </c>
      <c r="C42" t="str">
        <f>Results!D41</f>
        <v>Group J</v>
      </c>
      <c r="D42" t="str">
        <f>Results!E41</f>
        <v>Argentina</v>
      </c>
      <c r="E42" s="12" t="str">
        <f>Results!I41</f>
        <v>-</v>
      </c>
      <c r="F42" t="str">
        <f>Results!H41</f>
        <v>Austria</v>
      </c>
      <c r="G42" s="12">
        <f>Daithi!L42</f>
        <v>0</v>
      </c>
      <c r="H42" s="12">
        <f>Kian!L42</f>
        <v>0</v>
      </c>
      <c r="I42" s="12">
        <f>Mick!L42</f>
        <v>0</v>
      </c>
      <c r="J42" s="12">
        <f>Owen!L42</f>
        <v>0</v>
      </c>
      <c r="K42" s="12">
        <f>Reddy!L42</f>
        <v>0</v>
      </c>
      <c r="L42" s="12">
        <f>Garret!L42</f>
        <v>0</v>
      </c>
      <c r="M42" s="12">
        <f>Mac!L42</f>
        <v>0</v>
      </c>
      <c r="N42" s="12">
        <f>'Noonan '!L42</f>
        <v>0</v>
      </c>
    </row>
    <row r="43">
      <c r="A43" s="14">
        <f>Results!B42</f>
        <v>46195</v>
      </c>
      <c r="B43" s="15">
        <f>Results!C42</f>
        <v>0.9583333333</v>
      </c>
      <c r="C43" t="str">
        <f>Results!D42</f>
        <v>Group I</v>
      </c>
      <c r="D43" t="str">
        <f>Results!E42</f>
        <v>France</v>
      </c>
      <c r="E43" s="12" t="str">
        <f>Results!I42</f>
        <v>-</v>
      </c>
      <c r="F43" t="str">
        <f>Results!H42</f>
        <v>Iraq</v>
      </c>
      <c r="G43" s="12">
        <f>Daithi!L43</f>
        <v>0</v>
      </c>
      <c r="H43" s="12">
        <f>Kian!L43</f>
        <v>0</v>
      </c>
      <c r="I43" s="12">
        <f>Mick!L43</f>
        <v>0</v>
      </c>
      <c r="J43" s="12">
        <f>Owen!L43</f>
        <v>0</v>
      </c>
      <c r="K43" s="12">
        <f>Reddy!L43</f>
        <v>0</v>
      </c>
      <c r="L43" s="12">
        <f>Garret!L43</f>
        <v>0</v>
      </c>
      <c r="M43" s="12">
        <f>Mac!L43</f>
        <v>0</v>
      </c>
      <c r="N43" s="12">
        <f>'Noonan '!L43</f>
        <v>0</v>
      </c>
    </row>
    <row r="44">
      <c r="A44" s="14">
        <f>Results!B43</f>
        <v>46196</v>
      </c>
      <c r="B44" s="15">
        <f>Results!C43</f>
        <v>0.08333333333</v>
      </c>
      <c r="C44" t="str">
        <f>Results!D43</f>
        <v>Group I</v>
      </c>
      <c r="D44" t="str">
        <f>Results!E43</f>
        <v>Norway</v>
      </c>
      <c r="E44" s="12" t="str">
        <f>Results!I43</f>
        <v>-</v>
      </c>
      <c r="F44" t="str">
        <f>Results!H43</f>
        <v>Senegal</v>
      </c>
      <c r="G44" s="12">
        <f>Daithi!L44</f>
        <v>0</v>
      </c>
      <c r="H44" s="12">
        <f>Kian!L44</f>
        <v>0</v>
      </c>
      <c r="I44" s="12">
        <f>Mick!L44</f>
        <v>0</v>
      </c>
      <c r="J44" s="12">
        <f>Owen!L44</f>
        <v>0</v>
      </c>
      <c r="K44" s="12">
        <f>Reddy!L44</f>
        <v>0</v>
      </c>
      <c r="L44" s="12">
        <f>Garret!L44</f>
        <v>0</v>
      </c>
      <c r="M44" s="12">
        <f>Mac!L44</f>
        <v>0</v>
      </c>
      <c r="N44" s="12">
        <f>'Noonan '!L44</f>
        <v>0</v>
      </c>
    </row>
    <row r="45">
      <c r="A45" s="14">
        <f>Results!B44</f>
        <v>46196</v>
      </c>
      <c r="B45" s="15">
        <f>Results!C44</f>
        <v>0.2083333333</v>
      </c>
      <c r="C45" t="str">
        <f>Results!D44</f>
        <v>Group J</v>
      </c>
      <c r="D45" t="str">
        <f>Results!E44</f>
        <v>Jordan</v>
      </c>
      <c r="E45" s="12" t="str">
        <f>Results!I44</f>
        <v>-</v>
      </c>
      <c r="F45" t="str">
        <f>Results!H44</f>
        <v>Algeria</v>
      </c>
      <c r="G45" s="12">
        <f>Daithi!L45</f>
        <v>0</v>
      </c>
      <c r="H45" s="12">
        <f>Kian!L45</f>
        <v>0</v>
      </c>
      <c r="I45" s="12">
        <f>Mick!L45</f>
        <v>0</v>
      </c>
      <c r="J45" s="12">
        <f>Owen!L45</f>
        <v>0</v>
      </c>
      <c r="K45" s="12">
        <f>Reddy!L45</f>
        <v>0</v>
      </c>
      <c r="L45" s="12">
        <f>Garret!L45</f>
        <v>0</v>
      </c>
      <c r="M45" s="12">
        <f>Mac!L45</f>
        <v>0</v>
      </c>
      <c r="N45" s="12">
        <f>'Noonan '!L45</f>
        <v>0</v>
      </c>
    </row>
    <row r="46">
      <c r="A46" s="14">
        <f>Results!B45</f>
        <v>46196</v>
      </c>
      <c r="B46" s="15">
        <f>Results!C45</f>
        <v>0.7916666667</v>
      </c>
      <c r="C46" t="str">
        <f>Results!D45</f>
        <v>Group K</v>
      </c>
      <c r="D46" t="str">
        <f>Results!E45</f>
        <v>Portugal</v>
      </c>
      <c r="E46" s="12" t="str">
        <f>Results!I45</f>
        <v>-</v>
      </c>
      <c r="F46" t="str">
        <f>Results!H45</f>
        <v>Uzbekistan</v>
      </c>
      <c r="G46" s="12">
        <f>Daithi!L46</f>
        <v>0</v>
      </c>
      <c r="H46" s="12">
        <f>Kian!L46</f>
        <v>0</v>
      </c>
      <c r="I46" s="12">
        <f>Mick!L46</f>
        <v>0</v>
      </c>
      <c r="J46" s="12">
        <f>Owen!L46</f>
        <v>0</v>
      </c>
      <c r="K46" s="12">
        <f>Reddy!L46</f>
        <v>0</v>
      </c>
      <c r="L46" s="12">
        <f>Garret!L46</f>
        <v>0</v>
      </c>
      <c r="M46" s="12">
        <f>Mac!L46</f>
        <v>0</v>
      </c>
      <c r="N46" s="12">
        <f>'Noonan '!L46</f>
        <v>0</v>
      </c>
    </row>
    <row r="47">
      <c r="A47" s="14">
        <f>Results!B46</f>
        <v>46196</v>
      </c>
      <c r="B47" s="15">
        <f>Results!C46</f>
        <v>0.9166666667</v>
      </c>
      <c r="C47" t="str">
        <f>Results!D46</f>
        <v>Group L</v>
      </c>
      <c r="D47" t="str">
        <f>Results!E46</f>
        <v>England</v>
      </c>
      <c r="E47" s="12" t="str">
        <f>Results!I46</f>
        <v>-</v>
      </c>
      <c r="F47" t="str">
        <f>Results!H46</f>
        <v>Ghana</v>
      </c>
      <c r="G47" s="12">
        <f>Daithi!L47</f>
        <v>0</v>
      </c>
      <c r="H47" s="12">
        <f>Kian!L47</f>
        <v>0</v>
      </c>
      <c r="I47" s="12">
        <f>Mick!L47</f>
        <v>0</v>
      </c>
      <c r="J47" s="12">
        <f>Owen!L47</f>
        <v>0</v>
      </c>
      <c r="K47" s="12">
        <f>Reddy!L47</f>
        <v>0</v>
      </c>
      <c r="L47" s="12">
        <f>Garret!L47</f>
        <v>0</v>
      </c>
      <c r="M47" s="12">
        <f>Mac!L47</f>
        <v>0</v>
      </c>
      <c r="N47" s="12">
        <f>'Noonan '!L47</f>
        <v>0</v>
      </c>
    </row>
    <row r="48">
      <c r="A48" s="14">
        <f>Results!B47</f>
        <v>46197</v>
      </c>
      <c r="B48" s="15">
        <f>Results!C47</f>
        <v>0.04166666667</v>
      </c>
      <c r="C48" t="str">
        <f>Results!D47</f>
        <v>Group L</v>
      </c>
      <c r="D48" t="str">
        <f>Results!E47</f>
        <v>Panama</v>
      </c>
      <c r="E48" s="12" t="str">
        <f>Results!I47</f>
        <v>-</v>
      </c>
      <c r="F48" t="str">
        <f>Results!H47</f>
        <v>Croatia</v>
      </c>
      <c r="G48" s="12">
        <f>Daithi!L48</f>
        <v>0</v>
      </c>
      <c r="H48" s="12">
        <f>Kian!L48</f>
        <v>0</v>
      </c>
      <c r="I48" s="12">
        <f>Mick!L48</f>
        <v>0</v>
      </c>
      <c r="J48" s="12">
        <f>Owen!L48</f>
        <v>0</v>
      </c>
      <c r="K48" s="12">
        <f>Reddy!L48</f>
        <v>0</v>
      </c>
      <c r="L48" s="12">
        <f>Garret!L48</f>
        <v>0</v>
      </c>
      <c r="M48" s="12">
        <f>Mac!L48</f>
        <v>0</v>
      </c>
      <c r="N48" s="12">
        <f>'Noonan '!L48</f>
        <v>0</v>
      </c>
    </row>
    <row r="49">
      <c r="A49" s="14">
        <f>Results!B48</f>
        <v>46197</v>
      </c>
      <c r="B49" s="15">
        <f>Results!C48</f>
        <v>0.1666666667</v>
      </c>
      <c r="C49" t="str">
        <f>Results!D48</f>
        <v>Group K</v>
      </c>
      <c r="D49" t="str">
        <f>Results!E48</f>
        <v>Colombia</v>
      </c>
      <c r="E49" s="12" t="str">
        <f>Results!I48</f>
        <v>-</v>
      </c>
      <c r="F49" t="str">
        <f>Results!H48</f>
        <v>DR Congo</v>
      </c>
      <c r="G49" s="12">
        <f>Daithi!L49</f>
        <v>0</v>
      </c>
      <c r="H49" s="12">
        <f>Kian!L49</f>
        <v>0</v>
      </c>
      <c r="I49" s="12">
        <f>Mick!L49</f>
        <v>0</v>
      </c>
      <c r="J49" s="12">
        <f>Owen!L49</f>
        <v>0</v>
      </c>
      <c r="K49" s="12">
        <f>Reddy!L49</f>
        <v>0</v>
      </c>
      <c r="L49" s="12">
        <f>Garret!L49</f>
        <v>0</v>
      </c>
      <c r="M49" s="12">
        <f>Mac!L49</f>
        <v>0</v>
      </c>
      <c r="N49" s="12">
        <f>'Noonan '!L49</f>
        <v>0</v>
      </c>
    </row>
    <row r="50">
      <c r="A50" s="14">
        <f>Results!B49</f>
        <v>46197</v>
      </c>
      <c r="B50" s="15">
        <f>Results!C49</f>
        <v>0.75</v>
      </c>
      <c r="C50" t="str">
        <f>Results!D49</f>
        <v>Group C</v>
      </c>
      <c r="D50" t="str">
        <f>Results!E49</f>
        <v>Morocco</v>
      </c>
      <c r="E50" s="12" t="str">
        <f>Results!I49</f>
        <v>-</v>
      </c>
      <c r="F50" t="str">
        <f>Results!H49</f>
        <v>Haiti</v>
      </c>
      <c r="G50" s="12">
        <f>Daithi!L50</f>
        <v>0</v>
      </c>
      <c r="H50" s="12">
        <f>Kian!L50</f>
        <v>0</v>
      </c>
      <c r="I50" s="12">
        <f>Mick!L50</f>
        <v>0</v>
      </c>
      <c r="J50" s="12">
        <f>Owen!L50</f>
        <v>0</v>
      </c>
      <c r="K50" s="12">
        <f>Reddy!L50</f>
        <v>0</v>
      </c>
      <c r="L50" s="12">
        <f>Garret!L50</f>
        <v>0</v>
      </c>
      <c r="M50" s="12">
        <f>Mac!L50</f>
        <v>0</v>
      </c>
      <c r="N50" s="12">
        <f>'Noonan '!L50</f>
        <v>0</v>
      </c>
    </row>
    <row r="51">
      <c r="A51" s="14">
        <f>Results!B50</f>
        <v>46197</v>
      </c>
      <c r="B51" s="15">
        <f>Results!C50</f>
        <v>0.75</v>
      </c>
      <c r="C51" t="str">
        <f>Results!D50</f>
        <v>Group C</v>
      </c>
      <c r="D51" t="str">
        <f>Results!E50</f>
        <v>Scotland</v>
      </c>
      <c r="E51" s="12" t="str">
        <f>Results!I50</f>
        <v>-</v>
      </c>
      <c r="F51" t="str">
        <f>Results!H50</f>
        <v>Brazil</v>
      </c>
      <c r="G51" s="12">
        <f>Daithi!L51</f>
        <v>0</v>
      </c>
      <c r="H51" s="12">
        <f>Kian!L51</f>
        <v>0</v>
      </c>
      <c r="I51" s="12">
        <f>Mick!L51</f>
        <v>0</v>
      </c>
      <c r="J51" s="12">
        <f>Owen!L51</f>
        <v>0</v>
      </c>
      <c r="K51" s="12">
        <f>Reddy!L51</f>
        <v>0</v>
      </c>
      <c r="L51" s="12">
        <f>Garret!L51</f>
        <v>0</v>
      </c>
      <c r="M51" s="12">
        <f>Mac!L51</f>
        <v>0</v>
      </c>
      <c r="N51" s="12">
        <f>'Noonan '!L51</f>
        <v>0</v>
      </c>
    </row>
    <row r="52">
      <c r="A52" s="14">
        <f>Results!B51</f>
        <v>46197</v>
      </c>
      <c r="B52" s="15">
        <f>Results!C51</f>
        <v>0.875</v>
      </c>
      <c r="C52" t="str">
        <f>Results!D51</f>
        <v>Group B</v>
      </c>
      <c r="D52" t="str">
        <f>Results!E51</f>
        <v>Canada</v>
      </c>
      <c r="E52" s="12" t="str">
        <f>Results!I51</f>
        <v>-</v>
      </c>
      <c r="F52" t="str">
        <f>Results!H51</f>
        <v>Switzerland</v>
      </c>
      <c r="G52" s="12">
        <f>Daithi!L52</f>
        <v>0</v>
      </c>
      <c r="H52" s="12">
        <f>Kian!L52</f>
        <v>0</v>
      </c>
      <c r="I52" s="12">
        <f>Mick!L52</f>
        <v>0</v>
      </c>
      <c r="J52" s="12">
        <f>Owen!L52</f>
        <v>0</v>
      </c>
      <c r="K52" s="12">
        <f>Reddy!L52</f>
        <v>0</v>
      </c>
      <c r="L52" s="12">
        <f>Garret!L52</f>
        <v>0</v>
      </c>
      <c r="M52" s="12">
        <f>Mac!L52</f>
        <v>0</v>
      </c>
      <c r="N52" s="12">
        <f>'Noonan '!L52</f>
        <v>0</v>
      </c>
    </row>
    <row r="53">
      <c r="A53" s="14">
        <f>Results!B52</f>
        <v>46197</v>
      </c>
      <c r="B53" s="15">
        <f>Results!C52</f>
        <v>0.875</v>
      </c>
      <c r="C53" t="str">
        <f>Results!D52</f>
        <v>Group B</v>
      </c>
      <c r="D53" t="str">
        <f>Results!E52</f>
        <v>Bosnia and Herzegovina</v>
      </c>
      <c r="E53" s="12" t="str">
        <f>Results!I52</f>
        <v>-</v>
      </c>
      <c r="F53" t="str">
        <f>Results!H52</f>
        <v>Qatar</v>
      </c>
      <c r="G53" s="12">
        <f>Daithi!L53</f>
        <v>0</v>
      </c>
      <c r="H53" s="12">
        <f>Kian!L53</f>
        <v>0</v>
      </c>
      <c r="I53" s="12">
        <f>Mick!L53</f>
        <v>0</v>
      </c>
      <c r="J53" s="12">
        <f>Owen!L53</f>
        <v>0</v>
      </c>
      <c r="K53" s="12">
        <f>Reddy!L53</f>
        <v>0</v>
      </c>
      <c r="L53" s="12">
        <f>Garret!L53</f>
        <v>0</v>
      </c>
      <c r="M53" s="12">
        <f>Mac!L53</f>
        <v>0</v>
      </c>
      <c r="N53" s="12">
        <f>'Noonan '!L53</f>
        <v>0</v>
      </c>
    </row>
    <row r="54">
      <c r="A54" s="14">
        <f>Results!B53</f>
        <v>46198</v>
      </c>
      <c r="B54" s="15">
        <f>Results!C53</f>
        <v>0.08333333333</v>
      </c>
      <c r="C54" t="str">
        <f>Results!D53</f>
        <v>Group A</v>
      </c>
      <c r="D54" t="str">
        <f>Results!E53</f>
        <v>Mexico</v>
      </c>
      <c r="E54" s="12" t="str">
        <f>Results!I53</f>
        <v>-</v>
      </c>
      <c r="F54" t="str">
        <f>Results!H53</f>
        <v>Czechia</v>
      </c>
      <c r="G54" s="12">
        <f>Daithi!L54</f>
        <v>0</v>
      </c>
      <c r="H54" s="12">
        <f>Kian!L54</f>
        <v>0</v>
      </c>
      <c r="I54" s="12">
        <f>Mick!L54</f>
        <v>0</v>
      </c>
      <c r="J54" s="12">
        <f>Owen!L54</f>
        <v>0</v>
      </c>
      <c r="K54" s="12">
        <f>Reddy!L54</f>
        <v>0</v>
      </c>
      <c r="L54" s="12">
        <f>Garret!L54</f>
        <v>0</v>
      </c>
      <c r="M54" s="12">
        <f>Mac!L54</f>
        <v>0</v>
      </c>
      <c r="N54" s="12">
        <f>'Noonan '!L54</f>
        <v>0</v>
      </c>
    </row>
    <row r="55">
      <c r="A55" s="14">
        <f>Results!B54</f>
        <v>46198</v>
      </c>
      <c r="B55" s="15">
        <f>Results!C54</f>
        <v>0.08333333333</v>
      </c>
      <c r="C55" t="str">
        <f>Results!D54</f>
        <v>Group A</v>
      </c>
      <c r="D55" t="str">
        <f>Results!E54</f>
        <v>South Korea</v>
      </c>
      <c r="E55" s="12" t="str">
        <f>Results!I54</f>
        <v>-</v>
      </c>
      <c r="F55" t="str">
        <f>Results!H54</f>
        <v>South Africa</v>
      </c>
      <c r="G55" s="12">
        <f>Daithi!L55</f>
        <v>0</v>
      </c>
      <c r="H55" s="12">
        <f>Kian!L55</f>
        <v>0</v>
      </c>
      <c r="I55" s="12">
        <f>Mick!L55</f>
        <v>0</v>
      </c>
      <c r="J55" s="12">
        <f>Owen!L55</f>
        <v>0</v>
      </c>
      <c r="K55" s="12">
        <f>Reddy!L55</f>
        <v>0</v>
      </c>
      <c r="L55" s="12">
        <f>Garret!L55</f>
        <v>0</v>
      </c>
      <c r="M55" s="12">
        <f>Mac!L55</f>
        <v>0</v>
      </c>
      <c r="N55" s="12">
        <f>'Noonan '!L55</f>
        <v>0</v>
      </c>
    </row>
    <row r="56">
      <c r="A56" s="14">
        <f>Results!B55</f>
        <v>46198</v>
      </c>
      <c r="B56" s="15">
        <f>Results!C55</f>
        <v>0.75</v>
      </c>
      <c r="C56" t="str">
        <f>Results!D55</f>
        <v>Group E</v>
      </c>
      <c r="D56" t="str">
        <f>Results!E55</f>
        <v>Ecuador</v>
      </c>
      <c r="E56" s="12" t="str">
        <f>Results!I55</f>
        <v>-</v>
      </c>
      <c r="F56" t="str">
        <f>Results!H55</f>
        <v>Germany</v>
      </c>
      <c r="G56" s="12">
        <f>Daithi!L56</f>
        <v>0</v>
      </c>
      <c r="H56" s="12">
        <f>Kian!L56</f>
        <v>0</v>
      </c>
      <c r="I56" s="12">
        <f>Mick!L56</f>
        <v>0</v>
      </c>
      <c r="J56" s="12">
        <f>Owen!L56</f>
        <v>0</v>
      </c>
      <c r="K56" s="12">
        <f>Reddy!L56</f>
        <v>0</v>
      </c>
      <c r="L56" s="12">
        <f>Garret!L56</f>
        <v>0</v>
      </c>
      <c r="M56" s="12">
        <f>Mac!L56</f>
        <v>0</v>
      </c>
      <c r="N56" s="12">
        <f>'Noonan '!L56</f>
        <v>0</v>
      </c>
    </row>
    <row r="57">
      <c r="A57" s="14">
        <f>Results!B56</f>
        <v>46198</v>
      </c>
      <c r="B57" s="15">
        <f>Results!C56</f>
        <v>0.75</v>
      </c>
      <c r="C57" t="str">
        <f>Results!D56</f>
        <v>Group E</v>
      </c>
      <c r="D57" t="str">
        <f>Results!E56</f>
        <v>Curaçao</v>
      </c>
      <c r="E57" s="12" t="str">
        <f>Results!I56</f>
        <v>-</v>
      </c>
      <c r="F57" t="str">
        <f>Results!H56</f>
        <v>Ivory Coast</v>
      </c>
      <c r="G57" s="12">
        <f>Daithi!L57</f>
        <v>0</v>
      </c>
      <c r="H57" s="12">
        <f>Kian!L57</f>
        <v>0</v>
      </c>
      <c r="I57" s="12">
        <f>Mick!L57</f>
        <v>0</v>
      </c>
      <c r="J57" s="12">
        <f>Owen!L57</f>
        <v>0</v>
      </c>
      <c r="K57" s="12">
        <f>Reddy!L57</f>
        <v>0</v>
      </c>
      <c r="L57" s="12">
        <f>Garret!L57</f>
        <v>0</v>
      </c>
      <c r="M57" s="12">
        <f>Mac!L57</f>
        <v>0</v>
      </c>
      <c r="N57" s="12">
        <f>'Noonan '!L57</f>
        <v>0</v>
      </c>
    </row>
    <row r="58">
      <c r="A58" s="14">
        <f>Results!B57</f>
        <v>46198</v>
      </c>
      <c r="B58" s="15">
        <f>Results!C57</f>
        <v>0.875</v>
      </c>
      <c r="C58" t="str">
        <f>Results!D57</f>
        <v>Group F</v>
      </c>
      <c r="D58" t="str">
        <f>Results!E57</f>
        <v>Tunisia</v>
      </c>
      <c r="E58" s="12" t="str">
        <f>Results!I57</f>
        <v>-</v>
      </c>
      <c r="F58" t="str">
        <f>Results!H57</f>
        <v>Netherlands</v>
      </c>
      <c r="G58" s="12">
        <f>Daithi!L58</f>
        <v>0</v>
      </c>
      <c r="H58" s="12">
        <f>Kian!L58</f>
        <v>0</v>
      </c>
      <c r="I58" s="12">
        <f>Mick!L58</f>
        <v>0</v>
      </c>
      <c r="J58" s="12">
        <f>Owen!L58</f>
        <v>0</v>
      </c>
      <c r="K58" s="12">
        <f>Reddy!L58</f>
        <v>0</v>
      </c>
      <c r="L58" s="12">
        <f>Garret!L58</f>
        <v>0</v>
      </c>
      <c r="M58" s="12">
        <f>Mac!L58</f>
        <v>0</v>
      </c>
      <c r="N58" s="12">
        <f>'Noonan '!L58</f>
        <v>0</v>
      </c>
    </row>
    <row r="59">
      <c r="A59" s="14">
        <f>Results!B58</f>
        <v>46198</v>
      </c>
      <c r="B59" s="15">
        <f>Results!C58</f>
        <v>0.875</v>
      </c>
      <c r="C59" t="str">
        <f>Results!D58</f>
        <v>Group F</v>
      </c>
      <c r="D59" t="str">
        <f>Results!E58</f>
        <v>Japan</v>
      </c>
      <c r="E59" s="12" t="str">
        <f>Results!I58</f>
        <v>-</v>
      </c>
      <c r="F59" t="str">
        <f>Results!H58</f>
        <v>Sweden</v>
      </c>
      <c r="G59" s="12">
        <f>Daithi!L59</f>
        <v>0</v>
      </c>
      <c r="H59" s="12">
        <f>Kian!L59</f>
        <v>0</v>
      </c>
      <c r="I59" s="12">
        <f>Mick!L59</f>
        <v>0</v>
      </c>
      <c r="J59" s="12">
        <f>Owen!L59</f>
        <v>0</v>
      </c>
      <c r="K59" s="12">
        <f>Reddy!L59</f>
        <v>0</v>
      </c>
      <c r="L59" s="12">
        <f>Garret!L59</f>
        <v>0</v>
      </c>
      <c r="M59" s="12">
        <f>Mac!L59</f>
        <v>0</v>
      </c>
      <c r="N59" s="12">
        <f>'Noonan '!L59</f>
        <v>0</v>
      </c>
    </row>
    <row r="60">
      <c r="A60" s="14">
        <f>Results!B59</f>
        <v>46199</v>
      </c>
      <c r="B60" s="15">
        <f>Results!C59</f>
        <v>0.04166666667</v>
      </c>
      <c r="C60" t="str">
        <f>Results!D59</f>
        <v>Group D</v>
      </c>
      <c r="D60" t="str">
        <f>Results!E59</f>
        <v>USA</v>
      </c>
      <c r="E60" s="12" t="str">
        <f>Results!I59</f>
        <v>-</v>
      </c>
      <c r="F60" t="str">
        <f>Results!H59</f>
        <v>Türkiye</v>
      </c>
      <c r="G60" s="12">
        <f>Daithi!L60</f>
        <v>0</v>
      </c>
      <c r="H60" s="12">
        <f>Kian!L60</f>
        <v>0</v>
      </c>
      <c r="I60" s="12">
        <f>Mick!L60</f>
        <v>0</v>
      </c>
      <c r="J60" s="12">
        <f>Owen!L60</f>
        <v>0</v>
      </c>
      <c r="K60" s="12">
        <f>Reddy!L60</f>
        <v>0</v>
      </c>
      <c r="L60" s="12">
        <f>Garret!L60</f>
        <v>0</v>
      </c>
      <c r="M60" s="12">
        <f>Mac!L60</f>
        <v>0</v>
      </c>
      <c r="N60" s="12">
        <f>'Noonan '!L60</f>
        <v>0</v>
      </c>
    </row>
    <row r="61">
      <c r="A61" s="14">
        <f>Results!B60</f>
        <v>46199</v>
      </c>
      <c r="B61" s="15">
        <f>Results!C60</f>
        <v>0.04166666667</v>
      </c>
      <c r="C61" t="str">
        <f>Results!D60</f>
        <v>Group D</v>
      </c>
      <c r="D61" t="str">
        <f>Results!E60</f>
        <v>Paraguay</v>
      </c>
      <c r="E61" s="12" t="str">
        <f>Results!I60</f>
        <v>-</v>
      </c>
      <c r="F61" t="str">
        <f>Results!H60</f>
        <v>Australia</v>
      </c>
      <c r="G61" s="12">
        <f>Daithi!L61</f>
        <v>0</v>
      </c>
      <c r="H61" s="12">
        <f>Kian!L61</f>
        <v>0</v>
      </c>
      <c r="I61" s="12">
        <f>Mick!L61</f>
        <v>0</v>
      </c>
      <c r="J61" s="12">
        <f>Owen!L61</f>
        <v>0</v>
      </c>
      <c r="K61" s="12">
        <f>Reddy!L61</f>
        <v>0</v>
      </c>
      <c r="L61" s="12">
        <f>Garret!L61</f>
        <v>0</v>
      </c>
      <c r="M61" s="12">
        <f>Mac!L61</f>
        <v>0</v>
      </c>
      <c r="N61" s="12">
        <f>'Noonan '!L61</f>
        <v>0</v>
      </c>
    </row>
    <row r="62">
      <c r="A62" s="14">
        <f>Results!B61</f>
        <v>46199</v>
      </c>
      <c r="B62" s="15">
        <f>Results!C61</f>
        <v>0.75</v>
      </c>
      <c r="C62" t="str">
        <f>Results!D61</f>
        <v>Group G</v>
      </c>
      <c r="D62" t="str">
        <f>Results!E61</f>
        <v>Belgium</v>
      </c>
      <c r="E62" s="12" t="str">
        <f>Results!I61</f>
        <v>-</v>
      </c>
      <c r="F62" t="str">
        <f>Results!H61</f>
        <v>New Zealand</v>
      </c>
      <c r="G62" s="12">
        <f>Daithi!L62</f>
        <v>0</v>
      </c>
      <c r="H62" s="12">
        <f>Kian!L62</f>
        <v>0</v>
      </c>
      <c r="I62" s="12">
        <f>Mick!L62</f>
        <v>0</v>
      </c>
      <c r="J62" s="12">
        <f>Owen!L62</f>
        <v>0</v>
      </c>
      <c r="K62" s="12">
        <f>Reddy!L62</f>
        <v>0</v>
      </c>
      <c r="L62" s="12">
        <f>Garret!L62</f>
        <v>0</v>
      </c>
      <c r="M62" s="12">
        <f>Mac!L62</f>
        <v>0</v>
      </c>
      <c r="N62" s="12">
        <f>'Noonan '!L62</f>
        <v>0</v>
      </c>
    </row>
    <row r="63">
      <c r="A63" s="14">
        <f>Results!B62</f>
        <v>46199</v>
      </c>
      <c r="B63" s="15">
        <f>Results!C62</f>
        <v>0.75</v>
      </c>
      <c r="C63" t="str">
        <f>Results!D62</f>
        <v>Group G</v>
      </c>
      <c r="D63" t="str">
        <f>Results!E62</f>
        <v>Egypt</v>
      </c>
      <c r="E63" s="12" t="str">
        <f>Results!I62</f>
        <v>-</v>
      </c>
      <c r="F63" t="str">
        <f>Results!H62</f>
        <v>Iran</v>
      </c>
      <c r="G63" s="12">
        <f>Daithi!L63</f>
        <v>0</v>
      </c>
      <c r="H63" s="12">
        <f>Kian!L63</f>
        <v>0</v>
      </c>
      <c r="I63" s="12">
        <f>Mick!L63</f>
        <v>0</v>
      </c>
      <c r="J63" s="12">
        <f>Owen!L63</f>
        <v>0</v>
      </c>
      <c r="K63" s="12">
        <f>Reddy!L63</f>
        <v>0</v>
      </c>
      <c r="L63" s="12">
        <f>Garret!L63</f>
        <v>0</v>
      </c>
      <c r="M63" s="12">
        <f>Mac!L63</f>
        <v>0</v>
      </c>
      <c r="N63" s="12">
        <f>'Noonan '!L63</f>
        <v>0</v>
      </c>
    </row>
    <row r="64">
      <c r="A64" s="14">
        <f>Results!B63</f>
        <v>46199</v>
      </c>
      <c r="B64" s="15">
        <f>Results!C63</f>
        <v>0.875</v>
      </c>
      <c r="C64" t="str">
        <f>Results!D63</f>
        <v>Group H</v>
      </c>
      <c r="D64" t="str">
        <f>Results!E63</f>
        <v>Spain</v>
      </c>
      <c r="E64" s="12" t="str">
        <f>Results!I63</f>
        <v>-</v>
      </c>
      <c r="F64" t="str">
        <f>Results!H63</f>
        <v>Uruguay</v>
      </c>
      <c r="G64" s="12">
        <f>Daithi!L64</f>
        <v>0</v>
      </c>
      <c r="H64" s="12">
        <f>Kian!L64</f>
        <v>0</v>
      </c>
      <c r="I64" s="12">
        <f>Mick!L64</f>
        <v>0</v>
      </c>
      <c r="J64" s="12">
        <f>Owen!L64</f>
        <v>0</v>
      </c>
      <c r="K64" s="12">
        <f>Reddy!L64</f>
        <v>0</v>
      </c>
      <c r="L64" s="12">
        <f>Garret!L64</f>
        <v>0</v>
      </c>
      <c r="M64" s="12">
        <f>Mac!L64</f>
        <v>0</v>
      </c>
      <c r="N64" s="12">
        <f>'Noonan '!L64</f>
        <v>0</v>
      </c>
    </row>
    <row r="65">
      <c r="A65" s="14">
        <f>Results!B64</f>
        <v>46199</v>
      </c>
      <c r="B65" s="15">
        <f>Results!C64</f>
        <v>0.875</v>
      </c>
      <c r="C65" t="str">
        <f>Results!D64</f>
        <v>Group H</v>
      </c>
      <c r="D65" t="str">
        <f>Results!E64</f>
        <v>Cape Verde</v>
      </c>
      <c r="E65" s="12" t="str">
        <f>Results!I64</f>
        <v>-</v>
      </c>
      <c r="F65" t="str">
        <f>Results!H64</f>
        <v>Saudi Arabia</v>
      </c>
      <c r="G65" s="12">
        <f>Daithi!L65</f>
        <v>0</v>
      </c>
      <c r="H65" s="12">
        <f>Kian!L65</f>
        <v>0</v>
      </c>
      <c r="I65" s="12">
        <f>Mick!L65</f>
        <v>0</v>
      </c>
      <c r="J65" s="12">
        <f>Owen!L65</f>
        <v>0</v>
      </c>
      <c r="K65" s="12">
        <f>Reddy!L65</f>
        <v>0</v>
      </c>
      <c r="L65" s="12">
        <f>Garret!L65</f>
        <v>0</v>
      </c>
      <c r="M65" s="12">
        <f>Mac!L65</f>
        <v>0</v>
      </c>
      <c r="N65" s="12">
        <f>'Noonan '!L65</f>
        <v>0</v>
      </c>
    </row>
    <row r="66">
      <c r="A66" s="14">
        <f>Results!B65</f>
        <v>46200</v>
      </c>
      <c r="B66" s="15">
        <f>Results!C65</f>
        <v>0.04166666667</v>
      </c>
      <c r="C66" t="str">
        <f>Results!D65</f>
        <v>Group I</v>
      </c>
      <c r="D66" t="str">
        <f>Results!E65</f>
        <v>France</v>
      </c>
      <c r="E66" s="12" t="str">
        <f>Results!I65</f>
        <v>-</v>
      </c>
      <c r="F66" t="str">
        <f>Results!H65</f>
        <v>Norway</v>
      </c>
      <c r="G66" s="12">
        <f>Daithi!L66</f>
        <v>0</v>
      </c>
      <c r="H66" s="12">
        <f>Kian!L66</f>
        <v>0</v>
      </c>
      <c r="I66" s="12">
        <f>Mick!L66</f>
        <v>0</v>
      </c>
      <c r="J66" s="12">
        <f>Owen!L66</f>
        <v>0</v>
      </c>
      <c r="K66" s="12">
        <f>Reddy!L66</f>
        <v>0</v>
      </c>
      <c r="L66" s="12">
        <f>Garret!L66</f>
        <v>0</v>
      </c>
      <c r="M66" s="12">
        <f>Mac!L66</f>
        <v>0</v>
      </c>
      <c r="N66" s="12">
        <f>'Noonan '!L66</f>
        <v>0</v>
      </c>
    </row>
    <row r="67">
      <c r="A67" s="14">
        <f>Results!B66</f>
        <v>46200</v>
      </c>
      <c r="B67" s="15">
        <f>Results!C66</f>
        <v>0.04166666667</v>
      </c>
      <c r="C67" t="str">
        <f>Results!D66</f>
        <v>Group I</v>
      </c>
      <c r="D67" t="str">
        <f>Results!E66</f>
        <v>Senegal</v>
      </c>
      <c r="E67" s="12" t="str">
        <f>Results!I66</f>
        <v>-</v>
      </c>
      <c r="F67" t="str">
        <f>Results!H66</f>
        <v>Iraq</v>
      </c>
      <c r="G67" s="12">
        <f>Daithi!L67</f>
        <v>0</v>
      </c>
      <c r="H67" s="12">
        <f>Kian!L67</f>
        <v>0</v>
      </c>
      <c r="I67" s="12">
        <f>Mick!L67</f>
        <v>0</v>
      </c>
      <c r="J67" s="12">
        <f>Owen!L67</f>
        <v>0</v>
      </c>
      <c r="K67" s="12">
        <f>Reddy!L67</f>
        <v>0</v>
      </c>
      <c r="L67" s="12">
        <f>Garret!L67</f>
        <v>0</v>
      </c>
      <c r="M67" s="12">
        <f>Mac!L67</f>
        <v>0</v>
      </c>
      <c r="N67" s="12">
        <f>'Noonan '!L67</f>
        <v>0</v>
      </c>
    </row>
    <row r="68">
      <c r="A68" s="14">
        <f>Results!B67</f>
        <v>46200</v>
      </c>
      <c r="B68" s="15">
        <f>Results!C67</f>
        <v>0.75</v>
      </c>
      <c r="C68" t="str">
        <f>Results!D67</f>
        <v>Group J</v>
      </c>
      <c r="D68" t="str">
        <f>Results!E67</f>
        <v>Jordan</v>
      </c>
      <c r="E68" s="12" t="str">
        <f>Results!I67</f>
        <v>-</v>
      </c>
      <c r="F68" t="str">
        <f>Results!H67</f>
        <v>Argentina</v>
      </c>
      <c r="G68" s="12">
        <f>Daithi!L68</f>
        <v>0</v>
      </c>
      <c r="H68" s="12">
        <f>Kian!L68</f>
        <v>0</v>
      </c>
      <c r="I68" s="12">
        <f>Mick!L68</f>
        <v>0</v>
      </c>
      <c r="J68" s="12">
        <f>Owen!L68</f>
        <v>0</v>
      </c>
      <c r="K68" s="12">
        <f>Reddy!L68</f>
        <v>0</v>
      </c>
      <c r="L68" s="12">
        <f>Garret!L68</f>
        <v>0</v>
      </c>
      <c r="M68" s="12">
        <f>Mac!L68</f>
        <v>0</v>
      </c>
      <c r="N68" s="12">
        <f>'Noonan '!L68</f>
        <v>0</v>
      </c>
    </row>
    <row r="69">
      <c r="A69" s="14">
        <f>Results!B68</f>
        <v>46200</v>
      </c>
      <c r="B69" s="15">
        <f>Results!C68</f>
        <v>0.75</v>
      </c>
      <c r="C69" t="str">
        <f>Results!D68</f>
        <v>Group J</v>
      </c>
      <c r="D69" t="str">
        <f>Results!E68</f>
        <v>Algeria</v>
      </c>
      <c r="E69" s="12" t="str">
        <f>Results!I68</f>
        <v>-</v>
      </c>
      <c r="F69" t="str">
        <f>Results!H68</f>
        <v>Austria</v>
      </c>
      <c r="G69" s="12">
        <f>Daithi!L69</f>
        <v>0</v>
      </c>
      <c r="H69" s="12">
        <f>Kian!L69</f>
        <v>0</v>
      </c>
      <c r="I69" s="12">
        <f>Mick!L69</f>
        <v>0</v>
      </c>
      <c r="J69" s="12">
        <f>Owen!L69</f>
        <v>0</v>
      </c>
      <c r="K69" s="12">
        <f>Reddy!L69</f>
        <v>0</v>
      </c>
      <c r="L69" s="12">
        <f>Garret!L69</f>
        <v>0</v>
      </c>
      <c r="M69" s="12">
        <f>Mac!L69</f>
        <v>0</v>
      </c>
      <c r="N69" s="12">
        <f>'Noonan '!L69</f>
        <v>0</v>
      </c>
    </row>
    <row r="70">
      <c r="A70" s="14">
        <f>Results!B69</f>
        <v>46200</v>
      </c>
      <c r="B70" s="15">
        <f>Results!C69</f>
        <v>0.875</v>
      </c>
      <c r="C70" t="str">
        <f>Results!D69</f>
        <v>Group K</v>
      </c>
      <c r="D70" t="str">
        <f>Results!E69</f>
        <v>Colombia</v>
      </c>
      <c r="E70" s="12" t="str">
        <f>Results!I69</f>
        <v>-</v>
      </c>
      <c r="F70" t="str">
        <f>Results!H69</f>
        <v>Portugal</v>
      </c>
      <c r="G70" s="12">
        <f>Daithi!L70</f>
        <v>0</v>
      </c>
      <c r="H70" s="12">
        <f>Kian!L70</f>
        <v>0</v>
      </c>
      <c r="I70" s="12">
        <f>Mick!L70</f>
        <v>0</v>
      </c>
      <c r="J70" s="12">
        <f>Owen!L70</f>
        <v>0</v>
      </c>
      <c r="K70" s="12">
        <f>Reddy!L70</f>
        <v>0</v>
      </c>
      <c r="L70" s="12">
        <f>Garret!L70</f>
        <v>0</v>
      </c>
      <c r="M70" s="12">
        <f>Mac!L70</f>
        <v>0</v>
      </c>
      <c r="N70" s="12">
        <f>'Noonan '!L70</f>
        <v>0</v>
      </c>
    </row>
    <row r="71">
      <c r="A71" s="14">
        <f>Results!B70</f>
        <v>46200</v>
      </c>
      <c r="B71" s="15">
        <f>Results!C70</f>
        <v>0.875</v>
      </c>
      <c r="C71" t="str">
        <f>Results!D70</f>
        <v>Group K</v>
      </c>
      <c r="D71" t="str">
        <f>Results!E70</f>
        <v>Congo DR</v>
      </c>
      <c r="E71" s="12" t="str">
        <f>Results!I70</f>
        <v>-</v>
      </c>
      <c r="F71" t="str">
        <f>Results!H70</f>
        <v>Uzbekistan</v>
      </c>
      <c r="G71" s="12">
        <f>Daithi!L71</f>
        <v>0</v>
      </c>
      <c r="H71" s="12">
        <f>Kian!L71</f>
        <v>0</v>
      </c>
      <c r="I71" s="12">
        <f>Mick!L71</f>
        <v>0</v>
      </c>
      <c r="J71" s="12">
        <f>Owen!L71</f>
        <v>0</v>
      </c>
      <c r="K71" s="12">
        <f>Reddy!L71</f>
        <v>0</v>
      </c>
      <c r="L71" s="12">
        <f>Garret!L71</f>
        <v>0</v>
      </c>
      <c r="M71" s="12">
        <f>Mac!L71</f>
        <v>0</v>
      </c>
      <c r="N71" s="12">
        <f>'Noonan '!L71</f>
        <v>0</v>
      </c>
    </row>
    <row r="72">
      <c r="A72" s="14">
        <f>Results!B71</f>
        <v>46201</v>
      </c>
      <c r="B72" s="15">
        <f>Results!C71</f>
        <v>0.04166666667</v>
      </c>
      <c r="C72" t="str">
        <f>Results!D71</f>
        <v>Group L</v>
      </c>
      <c r="D72" t="str">
        <f>Results!E71</f>
        <v>Panama</v>
      </c>
      <c r="E72" s="12" t="str">
        <f>Results!I71</f>
        <v>-</v>
      </c>
      <c r="F72" t="str">
        <f>Results!H71</f>
        <v>England</v>
      </c>
      <c r="G72" s="12">
        <f>Daithi!L72</f>
        <v>0</v>
      </c>
      <c r="H72" s="12">
        <f>Kian!L72</f>
        <v>0</v>
      </c>
      <c r="I72" s="12">
        <f>Mick!L72</f>
        <v>0</v>
      </c>
      <c r="J72" s="12">
        <f>Owen!L72</f>
        <v>0</v>
      </c>
      <c r="K72" s="12">
        <f>Reddy!L72</f>
        <v>0</v>
      </c>
      <c r="L72" s="12">
        <f>Garret!L72</f>
        <v>0</v>
      </c>
      <c r="M72" s="12">
        <f>Mac!L72</f>
        <v>0</v>
      </c>
      <c r="N72" s="12">
        <f>'Noonan '!L72</f>
        <v>0</v>
      </c>
    </row>
    <row r="73">
      <c r="A73" s="14">
        <f>Results!B72</f>
        <v>46201</v>
      </c>
      <c r="B73" s="15">
        <f>Results!C72</f>
        <v>0.04166666667</v>
      </c>
      <c r="C73" t="str">
        <f>Results!D72</f>
        <v>Group L</v>
      </c>
      <c r="D73" t="str">
        <f>Results!E72</f>
        <v>Croatia</v>
      </c>
      <c r="E73" s="12" t="str">
        <f>Results!I72</f>
        <v>-</v>
      </c>
      <c r="F73" t="str">
        <f>Results!H72</f>
        <v>Ghana</v>
      </c>
      <c r="G73" s="12">
        <f>Daithi!L73</f>
        <v>0</v>
      </c>
      <c r="H73" s="12">
        <f>Kian!L73</f>
        <v>0</v>
      </c>
      <c r="I73" s="12">
        <f>Mick!L73</f>
        <v>0</v>
      </c>
      <c r="J73" s="12">
        <f>Owen!L73</f>
        <v>0</v>
      </c>
      <c r="K73" s="12">
        <f>Reddy!L73</f>
        <v>0</v>
      </c>
      <c r="L73" s="12">
        <f>Garret!L73</f>
        <v>0</v>
      </c>
      <c r="M73" s="12">
        <f>Mac!L73</f>
        <v>0</v>
      </c>
      <c r="N73" s="12">
        <f>'Noonan '!L73</f>
        <v>0</v>
      </c>
    </row>
    <row r="74">
      <c r="A74" s="14">
        <f>Results!B73</f>
        <v>46201</v>
      </c>
      <c r="B74" s="15">
        <f>Results!C73</f>
        <v>0.75</v>
      </c>
      <c r="C74" t="str">
        <f>Results!D73</f>
        <v>Round of 32 (M1)</v>
      </c>
      <c r="D74" t="str">
        <f>Results!E73</f>
        <v>Winner Group A</v>
      </c>
      <c r="E74" s="12" t="str">
        <f>Results!I73</f>
        <v>-</v>
      </c>
      <c r="F74" t="str">
        <f>Results!H73</f>
        <v>3rd Place Group C/D/E</v>
      </c>
      <c r="G74" s="12">
        <f>Daithi!L74</f>
        <v>0</v>
      </c>
      <c r="H74" s="12">
        <f>Kian!L74</f>
        <v>0</v>
      </c>
      <c r="I74" s="12">
        <f>Mick!L74</f>
        <v>0</v>
      </c>
      <c r="J74" s="12">
        <f>Owen!L74</f>
        <v>0</v>
      </c>
      <c r="K74" s="12">
        <f>Reddy!L74</f>
        <v>0</v>
      </c>
      <c r="L74" s="12">
        <f>Garret!L74</f>
        <v>0</v>
      </c>
      <c r="M74" s="12">
        <f>Mac!L74</f>
        <v>0</v>
      </c>
      <c r="N74" s="12">
        <f>'Noonan '!L74</f>
        <v>0</v>
      </c>
    </row>
    <row r="75">
      <c r="A75" s="14">
        <f>Results!B74</f>
        <v>46201</v>
      </c>
      <c r="B75" s="15">
        <f>Results!C74</f>
        <v>0.8958333333</v>
      </c>
      <c r="C75" t="str">
        <f>Results!D74</f>
        <v>Round of 32 (M2)</v>
      </c>
      <c r="D75" t="str">
        <f>Results!E74</f>
        <v>Runner-up Group A</v>
      </c>
      <c r="E75" s="12" t="str">
        <f>Results!I74</f>
        <v>-</v>
      </c>
      <c r="F75" t="str">
        <f>Results!H74</f>
        <v>Runner-up Group B</v>
      </c>
      <c r="G75" s="12">
        <f>Daithi!L75</f>
        <v>0</v>
      </c>
      <c r="H75" s="12">
        <f>Kian!L75</f>
        <v>0</v>
      </c>
      <c r="I75" s="12">
        <f>Mick!L75</f>
        <v>0</v>
      </c>
      <c r="J75" s="12">
        <f>Owen!L75</f>
        <v>0</v>
      </c>
      <c r="K75" s="12">
        <f>Reddy!L75</f>
        <v>0</v>
      </c>
      <c r="L75" s="12">
        <f>Garret!L75</f>
        <v>0</v>
      </c>
      <c r="M75" s="12">
        <f>Mac!L75</f>
        <v>0</v>
      </c>
      <c r="N75" s="12">
        <f>'Noonan '!L75</f>
        <v>0</v>
      </c>
    </row>
    <row r="76">
      <c r="A76" s="14">
        <f>Results!B75</f>
        <v>46202</v>
      </c>
      <c r="B76" s="15">
        <f>Results!C75</f>
        <v>0.75</v>
      </c>
      <c r="C76" t="str">
        <f>Results!D75</f>
        <v>Round of 32 (M3)</v>
      </c>
      <c r="D76" t="str">
        <f>Results!E75</f>
        <v>Winner Group C</v>
      </c>
      <c r="E76" s="12" t="str">
        <f>Results!I75</f>
        <v>-</v>
      </c>
      <c r="F76" t="str">
        <f>Results!H75</f>
        <v>Runner-up Group D</v>
      </c>
      <c r="G76" s="12">
        <f>Daithi!L76</f>
        <v>0</v>
      </c>
      <c r="H76" s="12">
        <f>Kian!L76</f>
        <v>0</v>
      </c>
      <c r="I76" s="12">
        <f>Mick!L76</f>
        <v>0</v>
      </c>
      <c r="J76" s="12">
        <f>Owen!L76</f>
        <v>0</v>
      </c>
      <c r="K76" s="12">
        <f>Reddy!L76</f>
        <v>0</v>
      </c>
      <c r="L76" s="12">
        <f>Garret!L76</f>
        <v>0</v>
      </c>
      <c r="M76" s="12">
        <f>Mac!L76</f>
        <v>0</v>
      </c>
      <c r="N76" s="12">
        <f>'Noonan '!L76</f>
        <v>0</v>
      </c>
    </row>
    <row r="77">
      <c r="A77" s="14">
        <f>Results!B76</f>
        <v>46202</v>
      </c>
      <c r="B77" s="15">
        <f>Results!C76</f>
        <v>0.8958333333</v>
      </c>
      <c r="C77" t="str">
        <f>Results!D76</f>
        <v>Round of 32 (M4)</v>
      </c>
      <c r="D77" t="str">
        <f>Results!E76</f>
        <v>Winner Group E</v>
      </c>
      <c r="E77" s="12" t="str">
        <f>Results!I76</f>
        <v>-</v>
      </c>
      <c r="F77" t="str">
        <f>Results!H76</f>
        <v>3rd Place Group A/B/C</v>
      </c>
      <c r="G77" s="12">
        <f>Daithi!L77</f>
        <v>0</v>
      </c>
      <c r="H77" s="12">
        <f>Kian!L77</f>
        <v>0</v>
      </c>
      <c r="I77" s="12">
        <f>Mick!L77</f>
        <v>0</v>
      </c>
      <c r="J77" s="12">
        <f>Owen!L77</f>
        <v>0</v>
      </c>
      <c r="K77" s="12">
        <f>Reddy!L77</f>
        <v>0</v>
      </c>
      <c r="L77" s="12">
        <f>Garret!L77</f>
        <v>0</v>
      </c>
      <c r="M77" s="12">
        <f>Mac!L77</f>
        <v>0</v>
      </c>
      <c r="N77" s="12">
        <f>'Noonan '!L77</f>
        <v>0</v>
      </c>
    </row>
    <row r="78">
      <c r="A78" s="14">
        <f>Results!B77</f>
        <v>46203</v>
      </c>
      <c r="B78" s="15">
        <f>Results!C77</f>
        <v>0.75</v>
      </c>
      <c r="C78" t="str">
        <f>Results!D77</f>
        <v>Round of 32 (M5)</v>
      </c>
      <c r="D78" t="str">
        <f>Results!E77</f>
        <v>Winner Group F</v>
      </c>
      <c r="E78" s="12" t="str">
        <f>Results!I77</f>
        <v>-</v>
      </c>
      <c r="F78" t="str">
        <f>Results!H77</f>
        <v>Runner-up Group C</v>
      </c>
      <c r="G78" s="12">
        <f>Daithi!L78</f>
        <v>0</v>
      </c>
      <c r="H78" s="12">
        <f>Kian!L78</f>
        <v>0</v>
      </c>
      <c r="I78" s="12">
        <f>Mick!L78</f>
        <v>0</v>
      </c>
      <c r="J78" s="12">
        <f>Owen!L78</f>
        <v>0</v>
      </c>
      <c r="K78" s="12">
        <f>Reddy!L78</f>
        <v>0</v>
      </c>
      <c r="L78" s="12">
        <f>Garret!L78</f>
        <v>0</v>
      </c>
      <c r="M78" s="12">
        <f>Mac!L78</f>
        <v>0</v>
      </c>
      <c r="N78" s="12">
        <f>'Noonan '!L78</f>
        <v>0</v>
      </c>
    </row>
    <row r="79">
      <c r="A79" s="14">
        <f>Results!B78</f>
        <v>46203</v>
      </c>
      <c r="B79" s="15">
        <f>Results!C78</f>
        <v>0.9166666667</v>
      </c>
      <c r="C79" t="str">
        <f>Results!D78</f>
        <v>Round of 32 (M6)</v>
      </c>
      <c r="D79" t="str">
        <f>Results!E78</f>
        <v>Winner Group B</v>
      </c>
      <c r="E79" s="12" t="str">
        <f>Results!I78</f>
        <v>-</v>
      </c>
      <c r="F79" t="str">
        <f>Results!H78</f>
        <v>3rd Place Group E/F/G</v>
      </c>
      <c r="G79" s="12">
        <f>Daithi!L79</f>
        <v>0</v>
      </c>
      <c r="H79" s="12">
        <f>Kian!L79</f>
        <v>0</v>
      </c>
      <c r="I79" s="12">
        <f>Mick!L79</f>
        <v>0</v>
      </c>
      <c r="J79" s="12">
        <f>Owen!L79</f>
        <v>0</v>
      </c>
      <c r="K79" s="12">
        <f>Reddy!L79</f>
        <v>0</v>
      </c>
      <c r="L79" s="12">
        <f>Garret!L79</f>
        <v>0</v>
      </c>
      <c r="M79" s="12">
        <f>Mac!L79</f>
        <v>0</v>
      </c>
      <c r="N79" s="12">
        <f>'Noonan '!L79</f>
        <v>0</v>
      </c>
    </row>
    <row r="80">
      <c r="A80" s="16">
        <f>Results!B79</f>
        <v>46204</v>
      </c>
      <c r="B80" s="15">
        <f>Results!C79</f>
        <v>0.04166666667</v>
      </c>
      <c r="C80" t="str">
        <f>Results!D79</f>
        <v>Round of 32 (M7)</v>
      </c>
      <c r="D80" t="str">
        <f>Results!E79</f>
        <v>Winner Group G</v>
      </c>
      <c r="E80" s="12" t="str">
        <f>Results!I79</f>
        <v>-</v>
      </c>
      <c r="F80" t="str">
        <f>Results!H79</f>
        <v>Runner-up Group H</v>
      </c>
      <c r="G80" s="12">
        <f>Daithi!L80</f>
        <v>0</v>
      </c>
      <c r="H80" s="12">
        <f>Kian!L80</f>
        <v>0</v>
      </c>
      <c r="I80" s="12">
        <f>Mick!L80</f>
        <v>0</v>
      </c>
      <c r="J80" s="12">
        <f>Owen!L80</f>
        <v>0</v>
      </c>
      <c r="K80" s="12">
        <f>Reddy!L80</f>
        <v>0</v>
      </c>
      <c r="L80" s="12">
        <f>Garret!L80</f>
        <v>0</v>
      </c>
      <c r="M80" s="12">
        <f>Mac!L80</f>
        <v>0</v>
      </c>
      <c r="N80" s="12">
        <f>'Noonan '!L80</f>
        <v>0</v>
      </c>
    </row>
    <row r="81">
      <c r="A81" s="16">
        <f>Results!B80</f>
        <v>46204</v>
      </c>
      <c r="B81" s="15">
        <f>Results!C80</f>
        <v>0.75</v>
      </c>
      <c r="C81" t="str">
        <f>Results!D80</f>
        <v>Round of 32 (M8)</v>
      </c>
      <c r="D81" t="str">
        <f>Results!E80</f>
        <v>Winner Group D</v>
      </c>
      <c r="E81" s="12" t="str">
        <f>Results!I80</f>
        <v>-</v>
      </c>
      <c r="F81" t="str">
        <f>Results!H80</f>
        <v>3rd Place Group I/J/K</v>
      </c>
      <c r="G81" s="12">
        <f>Daithi!L81</f>
        <v>0</v>
      </c>
      <c r="H81" s="12">
        <f>Kian!L81</f>
        <v>0</v>
      </c>
      <c r="I81" s="12">
        <f>Mick!L81</f>
        <v>0</v>
      </c>
      <c r="J81" s="12">
        <f>Owen!L81</f>
        <v>0</v>
      </c>
      <c r="K81" s="12">
        <f>Reddy!L81</f>
        <v>0</v>
      </c>
      <c r="L81" s="12">
        <f>Garret!L81</f>
        <v>0</v>
      </c>
      <c r="M81" s="12">
        <f>Mac!L81</f>
        <v>0</v>
      </c>
      <c r="N81" s="12">
        <f>'Noonan '!L81</f>
        <v>0</v>
      </c>
    </row>
    <row r="82">
      <c r="A82" s="16">
        <f>Results!B81</f>
        <v>46204</v>
      </c>
      <c r="B82" s="15">
        <f>Results!C81</f>
        <v>0.875</v>
      </c>
      <c r="C82" t="str">
        <f>Results!D81</f>
        <v>Round of 32 (M9)</v>
      </c>
      <c r="D82" t="str">
        <f>Results!E81</f>
        <v>Winner Group H</v>
      </c>
      <c r="E82" s="12" t="str">
        <f>Results!I81</f>
        <v>-</v>
      </c>
      <c r="F82" t="str">
        <f>Results!H81</f>
        <v>Runner-up Group G</v>
      </c>
      <c r="G82" s="12">
        <f>Daithi!L82</f>
        <v>0</v>
      </c>
      <c r="H82" s="12">
        <f>Kian!L82</f>
        <v>0</v>
      </c>
      <c r="I82" s="12">
        <f>Mick!L82</f>
        <v>0</v>
      </c>
      <c r="J82" s="12">
        <f>Owen!L82</f>
        <v>0</v>
      </c>
      <c r="K82" s="12">
        <f>Reddy!L82</f>
        <v>0</v>
      </c>
      <c r="L82" s="12">
        <f>Garret!L82</f>
        <v>0</v>
      </c>
      <c r="M82" s="12">
        <f>Mac!L82</f>
        <v>0</v>
      </c>
      <c r="N82" s="12">
        <f>'Noonan '!L82</f>
        <v>0</v>
      </c>
    </row>
    <row r="83">
      <c r="A83" s="16">
        <f>Results!B82</f>
        <v>46205</v>
      </c>
      <c r="B83" s="15">
        <f>Results!C82</f>
        <v>0.04166666667</v>
      </c>
      <c r="C83" t="str">
        <f>Results!D82</f>
        <v>Round of 32 (M10)</v>
      </c>
      <c r="D83" t="str">
        <f>Results!E82</f>
        <v>Winner Group I</v>
      </c>
      <c r="E83" s="12" t="str">
        <f>Results!I82</f>
        <v>-</v>
      </c>
      <c r="F83" t="str">
        <f>Results!H82</f>
        <v>3rd Place Group B/C/F</v>
      </c>
      <c r="G83" s="12">
        <f>Daithi!L83</f>
        <v>0</v>
      </c>
      <c r="H83" s="12">
        <f>Kian!L83</f>
        <v>0</v>
      </c>
      <c r="I83" s="12">
        <f>Mick!L83</f>
        <v>0</v>
      </c>
      <c r="J83" s="12">
        <f>Owen!L83</f>
        <v>0</v>
      </c>
      <c r="K83" s="12">
        <f>Reddy!L83</f>
        <v>0</v>
      </c>
      <c r="L83" s="12">
        <f>Garret!L83</f>
        <v>0</v>
      </c>
      <c r="M83" s="12">
        <f>Mac!L83</f>
        <v>0</v>
      </c>
      <c r="N83" s="12">
        <f>'Noonan '!L83</f>
        <v>0</v>
      </c>
    </row>
    <row r="84">
      <c r="A84" s="16">
        <f>Results!B83</f>
        <v>46205</v>
      </c>
      <c r="B84" s="15">
        <f>Results!C83</f>
        <v>0.75</v>
      </c>
      <c r="C84" t="str">
        <f>Results!D83</f>
        <v>Round of 32 (M11)</v>
      </c>
      <c r="D84" t="str">
        <f>Results!E83</f>
        <v>Winner Group J</v>
      </c>
      <c r="E84" s="12" t="str">
        <f>Results!I83</f>
        <v>-</v>
      </c>
      <c r="F84" t="str">
        <f>Results!H83</f>
        <v>Runner-up Group K</v>
      </c>
      <c r="G84" s="12">
        <f>Daithi!L84</f>
        <v>0</v>
      </c>
      <c r="H84" s="12">
        <f>Kian!L84</f>
        <v>0</v>
      </c>
      <c r="I84" s="12">
        <f>Mick!L84</f>
        <v>0</v>
      </c>
      <c r="J84" s="12">
        <f>Owen!L84</f>
        <v>0</v>
      </c>
      <c r="K84" s="12">
        <f>Reddy!L84</f>
        <v>0</v>
      </c>
      <c r="L84" s="12">
        <f>Garret!L84</f>
        <v>0</v>
      </c>
      <c r="M84" s="12">
        <f>Mac!L84</f>
        <v>0</v>
      </c>
      <c r="N84" s="12">
        <f>'Noonan '!L84</f>
        <v>0</v>
      </c>
    </row>
    <row r="85">
      <c r="A85" s="16">
        <f>Results!B84</f>
        <v>46205</v>
      </c>
      <c r="B85" s="15">
        <f>Results!C84</f>
        <v>0.875</v>
      </c>
      <c r="C85" t="str">
        <f>Results!D84</f>
        <v>Round of 32 (M12)</v>
      </c>
      <c r="D85" t="str">
        <f>Results!E84</f>
        <v>Winner Group K</v>
      </c>
      <c r="E85" s="12" t="str">
        <f>Results!I84</f>
        <v>-</v>
      </c>
      <c r="F85" t="str">
        <f>Results!H84</f>
        <v>Runner-up Group J</v>
      </c>
      <c r="G85" s="12">
        <f>Daithi!L85</f>
        <v>0</v>
      </c>
      <c r="H85" s="12">
        <f>Kian!L85</f>
        <v>0</v>
      </c>
      <c r="I85" s="12">
        <f>Mick!L85</f>
        <v>0</v>
      </c>
      <c r="J85" s="12">
        <f>Owen!L85</f>
        <v>0</v>
      </c>
      <c r="K85" s="12">
        <f>Reddy!L85</f>
        <v>0</v>
      </c>
      <c r="L85" s="12">
        <f>Garret!L85</f>
        <v>0</v>
      </c>
      <c r="M85" s="12">
        <f>Mac!L85</f>
        <v>0</v>
      </c>
      <c r="N85" s="12">
        <f>'Noonan '!L85</f>
        <v>0</v>
      </c>
    </row>
    <row r="86">
      <c r="A86" s="16">
        <f>Results!B85</f>
        <v>46206</v>
      </c>
      <c r="B86" s="15">
        <f>Results!C85</f>
        <v>0.04166666667</v>
      </c>
      <c r="C86" t="str">
        <f>Results!D85</f>
        <v>Round of 32 (M13)</v>
      </c>
      <c r="D86" t="str">
        <f>Results!E85</f>
        <v>Winner Group L</v>
      </c>
      <c r="E86" s="12" t="str">
        <f>Results!I85</f>
        <v>-</v>
      </c>
      <c r="F86" t="str">
        <f>Results!H85</f>
        <v>3rd Place Group A/D/H</v>
      </c>
      <c r="G86" s="12">
        <f>Daithi!L86</f>
        <v>0</v>
      </c>
      <c r="H86" s="12">
        <f>Kian!L86</f>
        <v>0</v>
      </c>
      <c r="I86" s="12">
        <f>Mick!L86</f>
        <v>0</v>
      </c>
      <c r="J86" s="12">
        <f>Owen!L86</f>
        <v>0</v>
      </c>
      <c r="K86" s="12">
        <f>Reddy!L86</f>
        <v>0</v>
      </c>
      <c r="L86" s="12">
        <f>Garret!L86</f>
        <v>0</v>
      </c>
      <c r="M86" s="12">
        <f>Mac!L86</f>
        <v>0</v>
      </c>
      <c r="N86" s="12">
        <f>'Noonan '!L86</f>
        <v>0</v>
      </c>
    </row>
    <row r="87">
      <c r="A87" s="16">
        <f>Results!B86</f>
        <v>46206</v>
      </c>
      <c r="B87" s="15">
        <f>Results!C86</f>
        <v>0.75</v>
      </c>
      <c r="C87" t="str">
        <f>Results!D86</f>
        <v>Round of 32 (M14)</v>
      </c>
      <c r="D87" t="str">
        <f>Results!E86</f>
        <v>Runner-up Group D</v>
      </c>
      <c r="E87" s="12" t="str">
        <f>Results!I86</f>
        <v>-</v>
      </c>
      <c r="F87" t="str">
        <f>Results!H86</f>
        <v>Runner-up Group E</v>
      </c>
      <c r="G87" s="12">
        <f>Daithi!L87</f>
        <v>0</v>
      </c>
      <c r="H87" s="12">
        <f>Kian!L87</f>
        <v>0</v>
      </c>
      <c r="I87" s="12">
        <f>Mick!L87</f>
        <v>0</v>
      </c>
      <c r="J87" s="12">
        <f>Owen!L87</f>
        <v>0</v>
      </c>
      <c r="K87" s="12">
        <f>Reddy!L87</f>
        <v>0</v>
      </c>
      <c r="L87" s="12">
        <f>Garret!L87</f>
        <v>0</v>
      </c>
      <c r="M87" s="12">
        <f>Mac!L87</f>
        <v>0</v>
      </c>
      <c r="N87" s="12">
        <f>'Noonan '!L87</f>
        <v>0</v>
      </c>
    </row>
    <row r="88">
      <c r="A88" s="16">
        <f>Results!B87</f>
        <v>46206</v>
      </c>
      <c r="B88" s="15">
        <f>Results!C87</f>
        <v>0.875</v>
      </c>
      <c r="C88" t="str">
        <f>Results!D87</f>
        <v>Round of 32 (M15)</v>
      </c>
      <c r="D88" t="str">
        <f>Results!E87</f>
        <v>Runner-up Group H</v>
      </c>
      <c r="E88" s="12" t="str">
        <f>Results!I87</f>
        <v>-</v>
      </c>
      <c r="F88" t="str">
        <f>Results!H87</f>
        <v>Runner-up Group I</v>
      </c>
      <c r="G88" s="12">
        <f>Daithi!L88</f>
        <v>0</v>
      </c>
      <c r="H88" s="12">
        <f>Kian!L88</f>
        <v>0</v>
      </c>
      <c r="I88" s="12">
        <f>Mick!L88</f>
        <v>0</v>
      </c>
      <c r="J88" s="12">
        <f>Owen!L88</f>
        <v>0</v>
      </c>
      <c r="K88" s="12">
        <f>Reddy!L88</f>
        <v>0</v>
      </c>
      <c r="L88" s="12">
        <f>Garret!L88</f>
        <v>0</v>
      </c>
      <c r="M88" s="12">
        <f>Mac!L88</f>
        <v>0</v>
      </c>
      <c r="N88" s="12">
        <f>'Noonan '!L88</f>
        <v>0</v>
      </c>
    </row>
    <row r="89">
      <c r="A89" s="16">
        <f>Results!B88</f>
        <v>46207</v>
      </c>
      <c r="B89" s="15">
        <f>Results!C88</f>
        <v>0.04166666667</v>
      </c>
      <c r="C89" t="str">
        <f>Results!D88</f>
        <v>Round of 32 (M16)</v>
      </c>
      <c r="D89" t="str">
        <f>Results!E88</f>
        <v>Runner-up Group L</v>
      </c>
      <c r="E89" s="12" t="str">
        <f>Results!I88</f>
        <v>-</v>
      </c>
      <c r="F89" t="str">
        <f>Results!H88</f>
        <v>Runner-up Group K</v>
      </c>
      <c r="G89" s="12">
        <f>Daithi!L89</f>
        <v>0</v>
      </c>
      <c r="H89" s="12">
        <f>Kian!L89</f>
        <v>0</v>
      </c>
      <c r="I89" s="12">
        <f>Mick!L89</f>
        <v>0</v>
      </c>
      <c r="J89" s="12">
        <f>Owen!L89</f>
        <v>0</v>
      </c>
      <c r="K89" s="12">
        <f>Reddy!L89</f>
        <v>0</v>
      </c>
      <c r="L89" s="12">
        <f>Garret!L89</f>
        <v>0</v>
      </c>
      <c r="M89" s="12">
        <f>Mac!L89</f>
        <v>0</v>
      </c>
      <c r="N89" s="12">
        <f>'Noonan '!L89</f>
        <v>0</v>
      </c>
    </row>
    <row r="90">
      <c r="A90" s="16">
        <f>Results!B89</f>
        <v>46207</v>
      </c>
      <c r="B90" s="15">
        <f>Results!C89</f>
        <v>0.75</v>
      </c>
      <c r="C90" t="str">
        <f>Results!D89</f>
        <v>Round of 16 (R1)</v>
      </c>
      <c r="D90" t="str">
        <f>Results!E89</f>
        <v>Winner Match 73</v>
      </c>
      <c r="E90" s="12" t="str">
        <f>Results!I89</f>
        <v>-</v>
      </c>
      <c r="F90" t="str">
        <f>Results!H89</f>
        <v>Winner Match 74</v>
      </c>
      <c r="G90" s="12">
        <f>Daithi!L90</f>
        <v>0</v>
      </c>
      <c r="H90" s="12">
        <f>Kian!L90</f>
        <v>0</v>
      </c>
      <c r="I90" s="12">
        <f>Mick!L90</f>
        <v>0</v>
      </c>
      <c r="J90" s="12">
        <f>Owen!L90</f>
        <v>0</v>
      </c>
      <c r="K90" s="12">
        <f>Reddy!L90</f>
        <v>0</v>
      </c>
      <c r="L90" s="12">
        <f>Garret!L90</f>
        <v>0</v>
      </c>
      <c r="M90" s="12">
        <f>Mac!L90</f>
        <v>0</v>
      </c>
      <c r="N90" s="12">
        <f>'Noonan '!L90</f>
        <v>0</v>
      </c>
    </row>
    <row r="91">
      <c r="A91" s="16">
        <f>Results!B90</f>
        <v>46207</v>
      </c>
      <c r="B91" s="15">
        <f>Results!C90</f>
        <v>0.8958333333</v>
      </c>
      <c r="C91" t="str">
        <f>Results!D90</f>
        <v>Round of 16 (R2)</v>
      </c>
      <c r="D91" t="str">
        <f>Results!E90</f>
        <v>Winner Match 75</v>
      </c>
      <c r="E91" s="12" t="str">
        <f>Results!I90</f>
        <v>-</v>
      </c>
      <c r="F91" t="str">
        <f>Results!H90</f>
        <v>Winner Match 76</v>
      </c>
      <c r="G91" s="12">
        <f>Daithi!L91</f>
        <v>0</v>
      </c>
      <c r="H91" s="12">
        <f>Kian!L91</f>
        <v>0</v>
      </c>
      <c r="I91" s="12">
        <f>Mick!L91</f>
        <v>0</v>
      </c>
      <c r="J91" s="12">
        <f>Owen!L91</f>
        <v>0</v>
      </c>
      <c r="K91" s="12">
        <f>Reddy!L91</f>
        <v>0</v>
      </c>
      <c r="L91" s="12">
        <f>Garret!L91</f>
        <v>0</v>
      </c>
      <c r="M91" s="12">
        <f>Mac!L91</f>
        <v>0</v>
      </c>
      <c r="N91" s="12">
        <f>'Noonan '!L91</f>
        <v>0</v>
      </c>
    </row>
    <row r="92">
      <c r="A92" s="16">
        <f>Results!B91</f>
        <v>46208</v>
      </c>
      <c r="B92" s="15">
        <f>Results!C91</f>
        <v>0.75</v>
      </c>
      <c r="C92" t="str">
        <f>Results!D91</f>
        <v>Round of 16 (R3)</v>
      </c>
      <c r="D92" t="str">
        <f>Results!E91</f>
        <v>Winner Match 77</v>
      </c>
      <c r="E92" s="12" t="str">
        <f>Results!I91</f>
        <v>-</v>
      </c>
      <c r="F92" t="str">
        <f>Results!H91</f>
        <v>Winner Match 78</v>
      </c>
      <c r="G92" s="12">
        <f>Daithi!L92</f>
        <v>0</v>
      </c>
      <c r="H92" s="12">
        <f>Kian!L92</f>
        <v>0</v>
      </c>
      <c r="I92" s="12">
        <f>Mick!L92</f>
        <v>0</v>
      </c>
      <c r="J92" s="12">
        <f>Owen!L92</f>
        <v>0</v>
      </c>
      <c r="K92" s="12">
        <f>Reddy!L92</f>
        <v>0</v>
      </c>
      <c r="L92" s="12">
        <f>Garret!L92</f>
        <v>0</v>
      </c>
      <c r="M92" s="12">
        <f>Mac!L92</f>
        <v>0</v>
      </c>
      <c r="N92" s="12">
        <f>'Noonan '!L92</f>
        <v>0</v>
      </c>
    </row>
    <row r="93">
      <c r="A93" s="16">
        <f>Results!B92</f>
        <v>46208</v>
      </c>
      <c r="B93" s="15">
        <f>Results!C92</f>
        <v>0.8958333333</v>
      </c>
      <c r="C93" t="str">
        <f>Results!D92</f>
        <v>Round of 16 (R4)</v>
      </c>
      <c r="D93" t="str">
        <f>Results!E92</f>
        <v>Winner Match 79</v>
      </c>
      <c r="E93" s="12" t="str">
        <f>Results!I92</f>
        <v>-</v>
      </c>
      <c r="F93" t="str">
        <f>Results!H92</f>
        <v>Winner Match 80</v>
      </c>
      <c r="G93" s="12">
        <f>Daithi!L93</f>
        <v>0</v>
      </c>
      <c r="H93" s="12">
        <f>Kian!L93</f>
        <v>0</v>
      </c>
      <c r="I93" s="12">
        <f>Mick!L93</f>
        <v>0</v>
      </c>
      <c r="J93" s="12">
        <f>Owen!L93</f>
        <v>0</v>
      </c>
      <c r="K93" s="12">
        <f>Reddy!L93</f>
        <v>0</v>
      </c>
      <c r="L93" s="12">
        <f>Garret!L93</f>
        <v>0</v>
      </c>
      <c r="M93" s="12">
        <f>Mac!L93</f>
        <v>0</v>
      </c>
      <c r="N93" s="12">
        <f>'Noonan '!L93</f>
        <v>0</v>
      </c>
    </row>
    <row r="94">
      <c r="A94" s="16">
        <f>Results!B93</f>
        <v>46209</v>
      </c>
      <c r="B94" s="15">
        <f>Results!C93</f>
        <v>0.75</v>
      </c>
      <c r="C94" t="str">
        <f>Results!D93</f>
        <v>Round of 16 (R5)</v>
      </c>
      <c r="D94" t="str">
        <f>Results!E93</f>
        <v>Winner Match 81</v>
      </c>
      <c r="E94" s="12" t="str">
        <f>Results!I93</f>
        <v>-</v>
      </c>
      <c r="F94" t="str">
        <f>Results!H93</f>
        <v>Winner Match 82</v>
      </c>
      <c r="G94" s="12">
        <f>Daithi!L94</f>
        <v>0</v>
      </c>
      <c r="H94" s="12">
        <f>Kian!L94</f>
        <v>0</v>
      </c>
      <c r="I94" s="12">
        <f>Mick!L94</f>
        <v>0</v>
      </c>
      <c r="J94" s="12">
        <f>Owen!L94</f>
        <v>0</v>
      </c>
      <c r="K94" s="12">
        <f>Reddy!L94</f>
        <v>0</v>
      </c>
      <c r="L94" s="12">
        <f>Garret!L94</f>
        <v>0</v>
      </c>
      <c r="M94" s="12">
        <f>Mac!L94</f>
        <v>0</v>
      </c>
      <c r="N94" s="12">
        <f>'Noonan '!L94</f>
        <v>0</v>
      </c>
    </row>
    <row r="95">
      <c r="A95" s="16">
        <f>Results!B94</f>
        <v>46209</v>
      </c>
      <c r="B95" s="15">
        <f>Results!C94</f>
        <v>0.8958333333</v>
      </c>
      <c r="C95" t="str">
        <f>Results!D94</f>
        <v>Round of 16 (R6)</v>
      </c>
      <c r="D95" t="str">
        <f>Results!E94</f>
        <v>Winner Match 83</v>
      </c>
      <c r="E95" s="12" t="str">
        <f>Results!I94</f>
        <v>-</v>
      </c>
      <c r="F95" t="str">
        <f>Results!H94</f>
        <v>Winner Match 84</v>
      </c>
      <c r="G95" s="12">
        <f>Daithi!L95</f>
        <v>0</v>
      </c>
      <c r="H95" s="12">
        <f>Kian!L95</f>
        <v>0</v>
      </c>
      <c r="I95" s="12">
        <f>Mick!L95</f>
        <v>0</v>
      </c>
      <c r="J95" s="12">
        <f>Owen!L95</f>
        <v>0</v>
      </c>
      <c r="K95" s="12">
        <f>Reddy!L95</f>
        <v>0</v>
      </c>
      <c r="L95" s="12">
        <f>Garret!L95</f>
        <v>0</v>
      </c>
      <c r="M95" s="12">
        <f>Mac!L95</f>
        <v>0</v>
      </c>
      <c r="N95" s="12">
        <f>'Noonan '!L95</f>
        <v>0</v>
      </c>
    </row>
    <row r="96">
      <c r="A96" s="16">
        <f>Results!B95</f>
        <v>46210</v>
      </c>
      <c r="B96" s="15">
        <f>Results!C95</f>
        <v>0.75</v>
      </c>
      <c r="C96" t="str">
        <f>Results!D95</f>
        <v>Round of 16 (R7)</v>
      </c>
      <c r="D96" t="str">
        <f>Results!E95</f>
        <v>Winner Match 85</v>
      </c>
      <c r="E96" s="12" t="str">
        <f>Results!I95</f>
        <v>-</v>
      </c>
      <c r="F96" t="str">
        <f>Results!H95</f>
        <v>Winner Match 86</v>
      </c>
      <c r="G96" s="12">
        <f>Daithi!L96</f>
        <v>0</v>
      </c>
      <c r="H96" s="12">
        <f>Kian!L96</f>
        <v>0</v>
      </c>
      <c r="I96" s="12">
        <f>Mick!L96</f>
        <v>0</v>
      </c>
      <c r="J96" s="12">
        <f>Owen!L96</f>
        <v>0</v>
      </c>
      <c r="K96" s="12">
        <f>Reddy!L96</f>
        <v>0</v>
      </c>
      <c r="L96" s="12">
        <f>Garret!L96</f>
        <v>0</v>
      </c>
      <c r="M96" s="12">
        <f>Mac!L96</f>
        <v>0</v>
      </c>
      <c r="N96" s="12">
        <f>'Noonan '!L96</f>
        <v>0</v>
      </c>
    </row>
    <row r="97">
      <c r="A97" s="16">
        <f>Results!B96</f>
        <v>46210</v>
      </c>
      <c r="B97" s="15">
        <f>Results!C96</f>
        <v>0.8958333333</v>
      </c>
      <c r="C97" t="str">
        <f>Results!D96</f>
        <v>Round of 16 (R8)</v>
      </c>
      <c r="D97" t="str">
        <f>Results!E96</f>
        <v>Winner Match 87</v>
      </c>
      <c r="E97" s="12" t="str">
        <f>Results!I96</f>
        <v>-</v>
      </c>
      <c r="F97" t="str">
        <f>Results!H96</f>
        <v>Winner Match 88</v>
      </c>
      <c r="G97" s="12">
        <f>Daithi!L97</f>
        <v>0</v>
      </c>
      <c r="H97" s="12">
        <f>Kian!L97</f>
        <v>0</v>
      </c>
      <c r="I97" s="12">
        <f>Mick!L97</f>
        <v>0</v>
      </c>
      <c r="J97" s="12">
        <f>Owen!L97</f>
        <v>0</v>
      </c>
      <c r="K97" s="12">
        <f>Reddy!L97</f>
        <v>0</v>
      </c>
      <c r="L97" s="12">
        <f>Garret!L97</f>
        <v>0</v>
      </c>
      <c r="M97" s="12">
        <f>Mac!L97</f>
        <v>0</v>
      </c>
      <c r="N97" s="12">
        <f>'Noonan '!L97</f>
        <v>0</v>
      </c>
    </row>
    <row r="98">
      <c r="A98" s="16">
        <f>Results!B97</f>
        <v>46212</v>
      </c>
      <c r="B98" s="15">
        <f>Results!C97</f>
        <v>0.8333333333</v>
      </c>
      <c r="C98" t="str">
        <f>Results!D97</f>
        <v>Quarter-final (Q1)</v>
      </c>
      <c r="D98" t="str">
        <f>Results!E97</f>
        <v>Winner Match 89</v>
      </c>
      <c r="E98" s="12" t="str">
        <f>Results!I97</f>
        <v>-</v>
      </c>
      <c r="F98" t="str">
        <f>Results!H97</f>
        <v>Winner Match 90</v>
      </c>
      <c r="G98" s="12">
        <f>Daithi!L98</f>
        <v>0</v>
      </c>
      <c r="H98" s="12">
        <f>Kian!L98</f>
        <v>0</v>
      </c>
      <c r="I98" s="12">
        <f>Mick!L98</f>
        <v>0</v>
      </c>
      <c r="J98" s="12">
        <f>Owen!L98</f>
        <v>0</v>
      </c>
      <c r="K98" s="12">
        <f>Reddy!L98</f>
        <v>0</v>
      </c>
      <c r="L98" s="12">
        <f>Garret!L98</f>
        <v>0</v>
      </c>
      <c r="M98" s="12">
        <f>Mac!L98</f>
        <v>0</v>
      </c>
      <c r="N98" s="12">
        <f>'Noonan '!L98</f>
        <v>0</v>
      </c>
    </row>
    <row r="99">
      <c r="A99" s="14">
        <f>Results!B98</f>
        <v>46213</v>
      </c>
      <c r="B99" s="15">
        <f>Results!C98</f>
        <v>0.8333333333</v>
      </c>
      <c r="C99" t="str">
        <f>Results!D98</f>
        <v>Quarter-final (Q2)</v>
      </c>
      <c r="D99" t="str">
        <f>Results!E98</f>
        <v>Winner Match 91</v>
      </c>
      <c r="E99" s="12" t="str">
        <f>Results!I98</f>
        <v>-</v>
      </c>
      <c r="F99" t="str">
        <f>Results!H98</f>
        <v>Winner Match 92</v>
      </c>
      <c r="G99" s="12">
        <f>Daithi!L99</f>
        <v>0</v>
      </c>
      <c r="H99" s="12">
        <f>Kian!L99</f>
        <v>0</v>
      </c>
      <c r="I99" s="12">
        <f>Mick!L99</f>
        <v>0</v>
      </c>
      <c r="J99" s="12">
        <f>Owen!L99</f>
        <v>0</v>
      </c>
      <c r="K99" s="12">
        <f>Reddy!L99</f>
        <v>0</v>
      </c>
      <c r="L99" s="12">
        <f>Garret!L99</f>
        <v>0</v>
      </c>
      <c r="M99" s="12">
        <f>Mac!L99</f>
        <v>0</v>
      </c>
      <c r="N99" s="12">
        <f>'Noonan '!L99</f>
        <v>0</v>
      </c>
    </row>
    <row r="100">
      <c r="A100" s="14">
        <f>Results!B99</f>
        <v>46214</v>
      </c>
      <c r="B100" s="15">
        <f>Results!C99</f>
        <v>0.75</v>
      </c>
      <c r="C100" t="str">
        <f>Results!D99</f>
        <v>Quarter-final (Q3)</v>
      </c>
      <c r="D100" t="str">
        <f>Results!E99</f>
        <v>Winner Match 93</v>
      </c>
      <c r="E100" s="12" t="str">
        <f>Results!I99</f>
        <v>-</v>
      </c>
      <c r="F100" t="str">
        <f>Results!H99</f>
        <v>Winner Match 94</v>
      </c>
      <c r="G100" s="12">
        <f>Daithi!L100</f>
        <v>0</v>
      </c>
      <c r="H100" s="12">
        <f>Kian!L100</f>
        <v>0</v>
      </c>
      <c r="I100" s="12">
        <f>Mick!L100</f>
        <v>0</v>
      </c>
      <c r="J100" s="12">
        <f>Owen!L100</f>
        <v>0</v>
      </c>
      <c r="K100" s="12">
        <f>Reddy!L100</f>
        <v>0</v>
      </c>
      <c r="L100" s="12">
        <f>Garret!L100</f>
        <v>0</v>
      </c>
      <c r="M100" s="12">
        <f>Mac!L100</f>
        <v>0</v>
      </c>
      <c r="N100" s="12">
        <f>'Noonan '!L100</f>
        <v>0</v>
      </c>
    </row>
    <row r="101">
      <c r="A101" s="14">
        <f>Results!B100</f>
        <v>46214</v>
      </c>
      <c r="B101" s="15">
        <f>Results!C100</f>
        <v>0.8958333333</v>
      </c>
      <c r="C101" t="str">
        <f>Results!D100</f>
        <v>Quarter-final (Q4)</v>
      </c>
      <c r="D101" t="str">
        <f>Results!E100</f>
        <v>Winner Match 95</v>
      </c>
      <c r="E101" s="12" t="str">
        <f>Results!I100</f>
        <v>-</v>
      </c>
      <c r="F101" t="str">
        <f>Results!H100</f>
        <v>Winner Match 96</v>
      </c>
      <c r="G101" s="12">
        <f>Daithi!L101</f>
        <v>0</v>
      </c>
      <c r="H101" s="12">
        <f>Kian!L101</f>
        <v>0</v>
      </c>
      <c r="I101" s="12">
        <f>Mick!L101</f>
        <v>0</v>
      </c>
      <c r="J101" s="12">
        <f>Owen!L101</f>
        <v>0</v>
      </c>
      <c r="K101" s="12">
        <f>Reddy!L101</f>
        <v>0</v>
      </c>
      <c r="L101" s="12">
        <f>Garret!L101</f>
        <v>0</v>
      </c>
      <c r="M101" s="12">
        <f>Mac!L101</f>
        <v>0</v>
      </c>
      <c r="N101" s="12">
        <f>'Noonan '!L101</f>
        <v>0</v>
      </c>
    </row>
    <row r="102">
      <c r="A102" s="14">
        <f>Results!B101</f>
        <v>46217</v>
      </c>
      <c r="B102" s="15">
        <f>Results!C101</f>
        <v>0.8333333333</v>
      </c>
      <c r="C102" t="str">
        <f>Results!D101</f>
        <v>Semi-final (S1)</v>
      </c>
      <c r="D102" t="str">
        <f>Results!E101</f>
        <v>Winner Match 97</v>
      </c>
      <c r="E102" s="12" t="str">
        <f>Results!I101</f>
        <v>-</v>
      </c>
      <c r="F102" t="str">
        <f>Results!H101</f>
        <v>Winner Match 98</v>
      </c>
      <c r="G102" s="12">
        <f>Daithi!L102</f>
        <v>0</v>
      </c>
      <c r="H102" s="12">
        <f>Kian!L102</f>
        <v>0</v>
      </c>
      <c r="I102" s="12">
        <f>Mick!L102</f>
        <v>0</v>
      </c>
      <c r="J102" s="12">
        <f>Owen!L102</f>
        <v>0</v>
      </c>
      <c r="K102" s="12">
        <f>Reddy!L102</f>
        <v>0</v>
      </c>
      <c r="L102" s="12">
        <f>Garret!L102</f>
        <v>0</v>
      </c>
      <c r="M102" s="12">
        <f>Mac!L102</f>
        <v>0</v>
      </c>
      <c r="N102" s="12">
        <f>'Noonan '!L102</f>
        <v>0</v>
      </c>
    </row>
    <row r="103">
      <c r="A103" s="14">
        <f>Results!B102</f>
        <v>46218</v>
      </c>
      <c r="B103" s="15">
        <f>Results!C102</f>
        <v>0.8333333333</v>
      </c>
      <c r="C103" t="str">
        <f>Results!D102</f>
        <v>Semi-final (S2)</v>
      </c>
      <c r="D103" t="str">
        <f>Results!E102</f>
        <v>Winner Match 99</v>
      </c>
      <c r="E103" s="12" t="str">
        <f>Results!I102</f>
        <v>-</v>
      </c>
      <c r="F103" t="str">
        <f>Results!H102</f>
        <v>Winner Match 100</v>
      </c>
      <c r="G103" s="12">
        <f>Daithi!L103</f>
        <v>0</v>
      </c>
      <c r="H103" s="12">
        <f>Kian!L103</f>
        <v>0</v>
      </c>
      <c r="I103" s="12">
        <f>Mick!L103</f>
        <v>0</v>
      </c>
      <c r="J103" s="12">
        <f>Owen!L103</f>
        <v>0</v>
      </c>
      <c r="K103" s="12">
        <f>Reddy!L103</f>
        <v>0</v>
      </c>
      <c r="L103" s="12">
        <f>Garret!L103</f>
        <v>0</v>
      </c>
      <c r="M103" s="12">
        <f>Mac!L103</f>
        <v>0</v>
      </c>
      <c r="N103" s="12">
        <f>'Noonan '!L103</f>
        <v>0</v>
      </c>
    </row>
    <row r="104">
      <c r="A104" s="14">
        <f>Results!B103</f>
        <v>46221</v>
      </c>
      <c r="B104" s="15">
        <f>Results!C103</f>
        <v>0.8333333333</v>
      </c>
      <c r="C104" t="str">
        <f>Results!D103</f>
        <v>Third-place Match</v>
      </c>
      <c r="D104" t="str">
        <f>Results!E103</f>
        <v>Loser Match 101</v>
      </c>
      <c r="E104" s="12" t="str">
        <f>Results!I103</f>
        <v>-</v>
      </c>
      <c r="F104" t="str">
        <f>Results!H103</f>
        <v>Loser Match 102</v>
      </c>
      <c r="G104" s="12">
        <f>Daithi!L104</f>
        <v>0</v>
      </c>
      <c r="H104" s="12">
        <f>Kian!L104</f>
        <v>0</v>
      </c>
      <c r="I104" s="12">
        <f>Mick!L104</f>
        <v>0</v>
      </c>
      <c r="J104" s="12">
        <f>Owen!L104</f>
        <v>0</v>
      </c>
      <c r="K104" s="12">
        <f>Reddy!L104</f>
        <v>0</v>
      </c>
      <c r="L104" s="12">
        <f>Garret!L104</f>
        <v>0</v>
      </c>
      <c r="M104" s="12">
        <f>Mac!L104</f>
        <v>0</v>
      </c>
      <c r="N104" s="12">
        <f>'Noonan '!L104</f>
        <v>0</v>
      </c>
    </row>
    <row r="105">
      <c r="A105" s="14">
        <f>Results!B104</f>
        <v>46222</v>
      </c>
      <c r="B105" s="15">
        <f>Results!C104</f>
        <v>0.8333333333</v>
      </c>
      <c r="C105" t="str">
        <f>Results!D104</f>
        <v>Final</v>
      </c>
      <c r="D105" t="str">
        <f>Results!E104</f>
        <v>Winner Match 101</v>
      </c>
      <c r="E105" s="12" t="str">
        <f>Results!I104</f>
        <v>-</v>
      </c>
      <c r="F105" t="str">
        <f>Results!H104</f>
        <v>Winner Match 102</v>
      </c>
      <c r="G105" s="12">
        <f>Daithi!L105</f>
        <v>0</v>
      </c>
      <c r="H105" s="12">
        <f>Kian!L105</f>
        <v>0</v>
      </c>
      <c r="I105" s="12">
        <f>Mick!L105</f>
        <v>0</v>
      </c>
      <c r="J105" s="12">
        <f>Owen!L105</f>
        <v>0</v>
      </c>
      <c r="K105" s="12">
        <f>Reddy!L105</f>
        <v>0</v>
      </c>
      <c r="L105" s="12">
        <f>Garret!L105</f>
        <v>0</v>
      </c>
      <c r="M105" s="12">
        <f>Mac!L105</f>
        <v>0</v>
      </c>
      <c r="N105" s="12">
        <f>'Noonan '!L105</f>
        <v>0</v>
      </c>
    </row>
    <row r="106">
      <c r="E106" s="12"/>
      <c r="G106" s="12"/>
      <c r="H106" s="12"/>
      <c r="I106" s="12"/>
      <c r="J106" s="12"/>
      <c r="K106" s="12"/>
      <c r="L106" s="12"/>
      <c r="M106" s="12"/>
      <c r="N106" s="12"/>
    </row>
    <row r="107">
      <c r="E107" s="12"/>
      <c r="G107" s="12"/>
      <c r="H107" s="12"/>
      <c r="I107" s="12"/>
      <c r="J107" s="12"/>
      <c r="K107" s="12"/>
      <c r="L107" s="12"/>
      <c r="M107" s="12"/>
      <c r="N107" s="12"/>
    </row>
    <row r="108">
      <c r="E108" s="12"/>
      <c r="G108" s="12"/>
      <c r="H108" s="12"/>
      <c r="I108" s="12"/>
      <c r="J108" s="12"/>
      <c r="K108" s="12"/>
      <c r="L108" s="12"/>
      <c r="M108" s="12"/>
      <c r="N108" s="12"/>
    </row>
    <row r="109">
      <c r="E109" s="12"/>
      <c r="G109" s="12"/>
      <c r="H109" s="12"/>
      <c r="I109" s="12"/>
      <c r="J109" s="12"/>
      <c r="K109" s="12"/>
      <c r="L109" s="12"/>
      <c r="M109" s="12"/>
      <c r="N109" s="12"/>
    </row>
    <row r="110">
      <c r="E110" s="12"/>
      <c r="G110" s="12"/>
      <c r="H110" s="12"/>
      <c r="I110" s="12"/>
      <c r="J110" s="12"/>
      <c r="K110" s="12"/>
      <c r="L110" s="12"/>
      <c r="M110" s="12"/>
      <c r="N110" s="12"/>
    </row>
    <row r="111">
      <c r="E111" s="12"/>
      <c r="G111" s="12"/>
      <c r="H111" s="12"/>
      <c r="I111" s="12"/>
      <c r="J111" s="12"/>
      <c r="K111" s="12"/>
      <c r="L111" s="12"/>
      <c r="M111" s="12"/>
      <c r="N111" s="12"/>
    </row>
    <row r="112">
      <c r="E112" s="12"/>
      <c r="G112" s="12"/>
      <c r="H112" s="12"/>
      <c r="I112" s="12"/>
      <c r="J112" s="12"/>
      <c r="K112" s="12"/>
      <c r="L112" s="12"/>
      <c r="M112" s="12"/>
      <c r="N112" s="12"/>
    </row>
    <row r="113">
      <c r="E113" s="12"/>
      <c r="G113" s="12"/>
      <c r="H113" s="12"/>
      <c r="I113" s="12"/>
      <c r="J113" s="12"/>
      <c r="K113" s="12"/>
      <c r="L113" s="12"/>
      <c r="M113" s="12"/>
      <c r="N113" s="12"/>
    </row>
    <row r="114">
      <c r="E114" s="12"/>
      <c r="G114" s="12"/>
      <c r="H114" s="12"/>
      <c r="I114" s="12"/>
      <c r="J114" s="12"/>
      <c r="K114" s="12"/>
      <c r="L114" s="12"/>
      <c r="M114" s="12"/>
      <c r="N114" s="12"/>
    </row>
    <row r="115">
      <c r="E115" s="12"/>
      <c r="G115" s="12"/>
      <c r="H115" s="12"/>
      <c r="I115" s="12"/>
      <c r="J115" s="12"/>
      <c r="K115" s="12"/>
      <c r="L115" s="12"/>
      <c r="M115" s="12"/>
      <c r="N115" s="12"/>
    </row>
    <row r="116">
      <c r="E116" s="12"/>
      <c r="G116" s="12"/>
      <c r="H116" s="12"/>
      <c r="I116" s="12"/>
      <c r="J116" s="12"/>
      <c r="K116" s="12"/>
      <c r="L116" s="12"/>
      <c r="M116" s="12"/>
      <c r="N116" s="12"/>
    </row>
    <row r="117">
      <c r="E117" s="12"/>
      <c r="G117" s="12"/>
      <c r="H117" s="12"/>
      <c r="I117" s="12"/>
      <c r="J117" s="12"/>
      <c r="K117" s="12"/>
      <c r="L117" s="12"/>
      <c r="M117" s="12"/>
      <c r="N117" s="12"/>
    </row>
    <row r="118">
      <c r="E118" s="12"/>
      <c r="G118" s="12"/>
      <c r="H118" s="12"/>
      <c r="I118" s="12"/>
      <c r="J118" s="12"/>
      <c r="K118" s="12"/>
      <c r="L118" s="12"/>
      <c r="M118" s="12"/>
      <c r="N118" s="12"/>
    </row>
    <row r="119">
      <c r="E119" s="12"/>
      <c r="G119" s="12"/>
      <c r="H119" s="12"/>
      <c r="I119" s="12"/>
      <c r="J119" s="12"/>
      <c r="K119" s="12"/>
      <c r="L119" s="12"/>
      <c r="M119" s="12"/>
      <c r="N119" s="12"/>
    </row>
    <row r="120">
      <c r="E120" s="12"/>
      <c r="G120" s="12"/>
      <c r="H120" s="12"/>
      <c r="I120" s="12"/>
      <c r="J120" s="12"/>
      <c r="K120" s="12"/>
      <c r="L120" s="12"/>
      <c r="M120" s="12"/>
      <c r="N120" s="12"/>
    </row>
    <row r="121">
      <c r="E121" s="12"/>
      <c r="G121" s="12"/>
      <c r="H121" s="12"/>
      <c r="I121" s="12"/>
      <c r="J121" s="12"/>
      <c r="K121" s="12"/>
      <c r="L121" s="12"/>
      <c r="M121" s="12"/>
      <c r="N121" s="12"/>
    </row>
    <row r="122">
      <c r="E122" s="12"/>
      <c r="G122" s="12"/>
      <c r="H122" s="12"/>
      <c r="I122" s="12"/>
      <c r="J122" s="12"/>
      <c r="K122" s="12"/>
      <c r="L122" s="12"/>
      <c r="M122" s="12"/>
      <c r="N122" s="12"/>
    </row>
    <row r="123">
      <c r="E123" s="12"/>
      <c r="G123" s="12"/>
      <c r="H123" s="12"/>
      <c r="I123" s="12"/>
      <c r="J123" s="12"/>
      <c r="K123" s="12"/>
      <c r="L123" s="12"/>
      <c r="M123" s="12"/>
      <c r="N123" s="12"/>
    </row>
    <row r="124">
      <c r="E124" s="12"/>
      <c r="G124" s="12"/>
      <c r="H124" s="12"/>
      <c r="I124" s="12"/>
      <c r="J124" s="12"/>
      <c r="K124" s="12"/>
      <c r="L124" s="12"/>
      <c r="M124" s="12"/>
      <c r="N124" s="12"/>
    </row>
    <row r="125">
      <c r="E125" s="12"/>
      <c r="G125" s="12"/>
      <c r="H125" s="12"/>
      <c r="I125" s="12"/>
      <c r="J125" s="12"/>
      <c r="K125" s="12"/>
      <c r="L125" s="12"/>
      <c r="M125" s="12"/>
      <c r="N125" s="12"/>
    </row>
    <row r="126">
      <c r="E126" s="12"/>
      <c r="G126" s="12"/>
      <c r="H126" s="12"/>
      <c r="I126" s="12"/>
      <c r="J126" s="12"/>
      <c r="K126" s="12"/>
      <c r="L126" s="12"/>
      <c r="M126" s="12"/>
      <c r="N126" s="12"/>
    </row>
    <row r="127">
      <c r="E127" s="12"/>
      <c r="G127" s="12"/>
      <c r="H127" s="12"/>
      <c r="I127" s="12"/>
      <c r="J127" s="12"/>
      <c r="K127" s="12"/>
      <c r="L127" s="12"/>
      <c r="M127" s="12"/>
      <c r="N127" s="12"/>
    </row>
    <row r="128">
      <c r="E128" s="12"/>
      <c r="G128" s="12"/>
      <c r="H128" s="12"/>
      <c r="I128" s="12"/>
      <c r="J128" s="12"/>
      <c r="K128" s="12"/>
      <c r="L128" s="12"/>
      <c r="M128" s="12"/>
      <c r="N128" s="12"/>
    </row>
    <row r="129">
      <c r="E129" s="12"/>
      <c r="G129" s="12"/>
      <c r="H129" s="12"/>
      <c r="I129" s="12"/>
      <c r="J129" s="12"/>
      <c r="K129" s="12"/>
      <c r="L129" s="12"/>
      <c r="M129" s="12"/>
      <c r="N129" s="12"/>
    </row>
    <row r="130">
      <c r="E130" s="12"/>
      <c r="G130" s="12"/>
      <c r="H130" s="12"/>
      <c r="I130" s="12"/>
      <c r="J130" s="12"/>
      <c r="K130" s="12"/>
      <c r="L130" s="12"/>
      <c r="M130" s="12"/>
      <c r="N130" s="12"/>
    </row>
    <row r="131">
      <c r="E131" s="12"/>
      <c r="G131" s="12"/>
      <c r="H131" s="12"/>
      <c r="I131" s="12"/>
      <c r="J131" s="12"/>
      <c r="K131" s="12"/>
      <c r="L131" s="12"/>
      <c r="M131" s="12"/>
      <c r="N131" s="12"/>
    </row>
    <row r="132">
      <c r="E132" s="12"/>
      <c r="G132" s="12"/>
      <c r="H132" s="12"/>
      <c r="I132" s="12"/>
      <c r="J132" s="12"/>
      <c r="K132" s="12"/>
      <c r="L132" s="12"/>
      <c r="M132" s="12"/>
      <c r="N132" s="12"/>
    </row>
    <row r="133">
      <c r="E133" s="12"/>
      <c r="G133" s="12"/>
      <c r="H133" s="12"/>
      <c r="I133" s="12"/>
      <c r="J133" s="12"/>
      <c r="K133" s="12"/>
      <c r="L133" s="12"/>
      <c r="M133" s="12"/>
      <c r="N133" s="12"/>
    </row>
    <row r="134">
      <c r="E134" s="12"/>
      <c r="G134" s="12"/>
      <c r="H134" s="12"/>
      <c r="I134" s="12"/>
      <c r="J134" s="12"/>
      <c r="K134" s="12"/>
      <c r="L134" s="12"/>
      <c r="M134" s="12"/>
      <c r="N134" s="12"/>
    </row>
    <row r="135">
      <c r="E135" s="12"/>
      <c r="G135" s="12"/>
      <c r="H135" s="12"/>
      <c r="I135" s="12"/>
      <c r="J135" s="12"/>
      <c r="K135" s="12"/>
      <c r="L135" s="12"/>
      <c r="M135" s="12"/>
      <c r="N135" s="12"/>
    </row>
    <row r="136">
      <c r="E136" s="12"/>
      <c r="G136" s="12"/>
      <c r="H136" s="12"/>
      <c r="I136" s="12"/>
      <c r="J136" s="12"/>
      <c r="K136" s="12"/>
      <c r="L136" s="12"/>
      <c r="M136" s="12"/>
      <c r="N136" s="12"/>
    </row>
    <row r="137">
      <c r="E137" s="12"/>
      <c r="G137" s="12"/>
      <c r="H137" s="12"/>
      <c r="I137" s="12"/>
      <c r="J137" s="12"/>
      <c r="K137" s="12"/>
      <c r="L137" s="12"/>
      <c r="M137" s="12"/>
      <c r="N137" s="12"/>
    </row>
    <row r="138">
      <c r="E138" s="12"/>
      <c r="G138" s="12"/>
      <c r="H138" s="12"/>
      <c r="I138" s="12"/>
      <c r="J138" s="12"/>
      <c r="K138" s="12"/>
      <c r="L138" s="12"/>
      <c r="M138" s="12"/>
      <c r="N138" s="12"/>
    </row>
    <row r="139">
      <c r="E139" s="12"/>
      <c r="G139" s="12"/>
      <c r="H139" s="12"/>
      <c r="I139" s="12"/>
      <c r="J139" s="12"/>
      <c r="K139" s="12"/>
      <c r="L139" s="12"/>
      <c r="M139" s="12"/>
      <c r="N139" s="12"/>
    </row>
    <row r="140">
      <c r="E140" s="12"/>
      <c r="G140" s="12"/>
      <c r="H140" s="12"/>
      <c r="I140" s="12"/>
      <c r="J140" s="12"/>
      <c r="K140" s="12"/>
      <c r="L140" s="12"/>
      <c r="M140" s="12"/>
      <c r="N140" s="12"/>
    </row>
    <row r="141">
      <c r="E141" s="12"/>
      <c r="G141" s="12"/>
      <c r="H141" s="12"/>
      <c r="I141" s="12"/>
      <c r="J141" s="12"/>
      <c r="K141" s="12"/>
      <c r="L141" s="12"/>
      <c r="M141" s="12"/>
      <c r="N141" s="12"/>
    </row>
    <row r="142">
      <c r="E142" s="12"/>
      <c r="G142" s="12"/>
      <c r="H142" s="12"/>
      <c r="I142" s="12"/>
      <c r="J142" s="12"/>
      <c r="K142" s="12"/>
      <c r="L142" s="12"/>
      <c r="M142" s="12"/>
      <c r="N142" s="12"/>
    </row>
    <row r="143">
      <c r="E143" s="12"/>
      <c r="G143" s="12"/>
      <c r="H143" s="12"/>
      <c r="I143" s="12"/>
      <c r="J143" s="12"/>
      <c r="K143" s="12"/>
      <c r="L143" s="12"/>
      <c r="M143" s="12"/>
      <c r="N143" s="12"/>
    </row>
    <row r="144">
      <c r="E144" s="12"/>
      <c r="G144" s="12"/>
      <c r="H144" s="12"/>
      <c r="I144" s="12"/>
      <c r="J144" s="12"/>
      <c r="K144" s="12"/>
      <c r="L144" s="12"/>
      <c r="M144" s="12"/>
      <c r="N144" s="12"/>
    </row>
    <row r="145">
      <c r="E145" s="12"/>
      <c r="G145" s="12"/>
      <c r="H145" s="12"/>
      <c r="I145" s="12"/>
      <c r="J145" s="12"/>
      <c r="K145" s="12"/>
      <c r="L145" s="12"/>
      <c r="M145" s="12"/>
      <c r="N145" s="12"/>
    </row>
    <row r="146">
      <c r="E146" s="12"/>
      <c r="G146" s="12"/>
      <c r="H146" s="12"/>
      <c r="I146" s="12"/>
      <c r="J146" s="12"/>
      <c r="K146" s="12"/>
      <c r="L146" s="12"/>
      <c r="M146" s="12"/>
      <c r="N146" s="12"/>
    </row>
    <row r="147">
      <c r="E147" s="12"/>
      <c r="G147" s="12"/>
      <c r="H147" s="12"/>
      <c r="I147" s="12"/>
      <c r="J147" s="12"/>
      <c r="K147" s="12"/>
      <c r="L147" s="12"/>
      <c r="M147" s="12"/>
      <c r="N147" s="12"/>
    </row>
    <row r="148">
      <c r="E148" s="12"/>
      <c r="G148" s="12"/>
      <c r="H148" s="12"/>
      <c r="I148" s="12"/>
      <c r="J148" s="12"/>
      <c r="K148" s="12"/>
      <c r="L148" s="12"/>
      <c r="M148" s="12"/>
      <c r="N148" s="12"/>
    </row>
    <row r="149">
      <c r="E149" s="12"/>
      <c r="G149" s="12"/>
      <c r="H149" s="12"/>
      <c r="I149" s="12"/>
      <c r="J149" s="12"/>
      <c r="K149" s="12"/>
      <c r="L149" s="12"/>
      <c r="M149" s="12"/>
      <c r="N149" s="12"/>
    </row>
    <row r="150">
      <c r="E150" s="12"/>
      <c r="G150" s="12"/>
      <c r="H150" s="12"/>
      <c r="I150" s="12"/>
      <c r="J150" s="12"/>
      <c r="K150" s="12"/>
      <c r="L150" s="12"/>
      <c r="M150" s="12"/>
      <c r="N150" s="12"/>
    </row>
    <row r="151">
      <c r="E151" s="12"/>
      <c r="G151" s="12"/>
      <c r="H151" s="12"/>
      <c r="I151" s="12"/>
      <c r="J151" s="12"/>
      <c r="K151" s="12"/>
      <c r="L151" s="12"/>
      <c r="M151" s="12"/>
      <c r="N151" s="12"/>
    </row>
    <row r="152">
      <c r="E152" s="12"/>
      <c r="G152" s="12"/>
      <c r="H152" s="12"/>
      <c r="I152" s="12"/>
      <c r="J152" s="12"/>
      <c r="K152" s="12"/>
      <c r="L152" s="12"/>
      <c r="M152" s="12"/>
      <c r="N152" s="12"/>
    </row>
    <row r="153">
      <c r="E153" s="12"/>
      <c r="G153" s="12"/>
      <c r="H153" s="12"/>
      <c r="I153" s="12"/>
      <c r="J153" s="12"/>
      <c r="K153" s="12"/>
      <c r="L153" s="12"/>
      <c r="M153" s="12"/>
      <c r="N153" s="12"/>
    </row>
    <row r="154">
      <c r="E154" s="12"/>
      <c r="G154" s="12"/>
      <c r="H154" s="12"/>
      <c r="I154" s="12"/>
      <c r="J154" s="12"/>
      <c r="K154" s="12"/>
      <c r="L154" s="12"/>
      <c r="M154" s="12"/>
      <c r="N154" s="12"/>
    </row>
    <row r="155">
      <c r="E155" s="12"/>
      <c r="G155" s="12"/>
      <c r="H155" s="12"/>
      <c r="I155" s="12"/>
      <c r="J155" s="12"/>
      <c r="K155" s="12"/>
      <c r="L155" s="12"/>
      <c r="M155" s="12"/>
      <c r="N155" s="12"/>
    </row>
    <row r="156">
      <c r="E156" s="12"/>
      <c r="G156" s="12"/>
      <c r="H156" s="12"/>
      <c r="I156" s="12"/>
      <c r="J156" s="12"/>
      <c r="K156" s="12"/>
      <c r="L156" s="12"/>
      <c r="M156" s="12"/>
      <c r="N156" s="12"/>
    </row>
    <row r="157">
      <c r="E157" s="12"/>
      <c r="G157" s="12"/>
      <c r="H157" s="12"/>
      <c r="I157" s="12"/>
      <c r="J157" s="12"/>
      <c r="K157" s="12"/>
      <c r="L157" s="12"/>
      <c r="M157" s="12"/>
      <c r="N157" s="12"/>
    </row>
    <row r="158">
      <c r="E158" s="12"/>
      <c r="G158" s="12"/>
      <c r="H158" s="12"/>
      <c r="I158" s="12"/>
      <c r="J158" s="12"/>
      <c r="K158" s="12"/>
      <c r="L158" s="12"/>
      <c r="M158" s="12"/>
      <c r="N158" s="12"/>
    </row>
    <row r="159">
      <c r="E159" s="12"/>
      <c r="G159" s="12"/>
      <c r="H159" s="12"/>
      <c r="I159" s="12"/>
      <c r="J159" s="12"/>
      <c r="K159" s="12"/>
      <c r="L159" s="12"/>
      <c r="M159" s="12"/>
      <c r="N159" s="12"/>
    </row>
    <row r="160">
      <c r="E160" s="12"/>
      <c r="G160" s="12"/>
      <c r="H160" s="12"/>
      <c r="I160" s="12"/>
      <c r="J160" s="12"/>
      <c r="K160" s="12"/>
      <c r="L160" s="12"/>
      <c r="M160" s="12"/>
      <c r="N160" s="12"/>
    </row>
    <row r="161">
      <c r="E161" s="12"/>
      <c r="G161" s="12"/>
      <c r="H161" s="12"/>
      <c r="I161" s="12"/>
      <c r="J161" s="12"/>
      <c r="K161" s="12"/>
      <c r="L161" s="12"/>
      <c r="M161" s="12"/>
      <c r="N161" s="12"/>
    </row>
    <row r="162">
      <c r="E162" s="12"/>
      <c r="G162" s="12"/>
      <c r="H162" s="12"/>
      <c r="I162" s="12"/>
      <c r="J162" s="12"/>
      <c r="K162" s="12"/>
      <c r="L162" s="12"/>
      <c r="M162" s="12"/>
      <c r="N162" s="12"/>
    </row>
    <row r="163">
      <c r="E163" s="12"/>
      <c r="G163" s="12"/>
      <c r="H163" s="12"/>
      <c r="I163" s="12"/>
      <c r="J163" s="12"/>
      <c r="K163" s="12"/>
      <c r="L163" s="12"/>
      <c r="M163" s="12"/>
      <c r="N163" s="12"/>
    </row>
    <row r="164">
      <c r="E164" s="12"/>
      <c r="G164" s="12"/>
      <c r="H164" s="12"/>
      <c r="I164" s="12"/>
      <c r="J164" s="12"/>
      <c r="K164" s="12"/>
      <c r="L164" s="12"/>
      <c r="M164" s="12"/>
      <c r="N164" s="12"/>
    </row>
    <row r="165">
      <c r="E165" s="12"/>
      <c r="G165" s="12"/>
      <c r="H165" s="12"/>
      <c r="I165" s="12"/>
      <c r="J165" s="12"/>
      <c r="K165" s="12"/>
      <c r="L165" s="12"/>
      <c r="M165" s="12"/>
      <c r="N165" s="12"/>
    </row>
    <row r="166">
      <c r="E166" s="12"/>
      <c r="G166" s="12"/>
      <c r="H166" s="12"/>
      <c r="I166" s="12"/>
      <c r="J166" s="12"/>
      <c r="K166" s="12"/>
      <c r="L166" s="12"/>
      <c r="M166" s="12"/>
      <c r="N166" s="12"/>
    </row>
    <row r="167">
      <c r="E167" s="12"/>
      <c r="G167" s="12"/>
      <c r="H167" s="12"/>
      <c r="I167" s="12"/>
      <c r="J167" s="12"/>
      <c r="K167" s="12"/>
      <c r="L167" s="12"/>
      <c r="M167" s="12"/>
      <c r="N167" s="12"/>
    </row>
    <row r="168">
      <c r="E168" s="12"/>
      <c r="G168" s="12"/>
      <c r="H168" s="12"/>
      <c r="I168" s="12"/>
      <c r="J168" s="12"/>
      <c r="K168" s="12"/>
      <c r="L168" s="12"/>
      <c r="M168" s="12"/>
      <c r="N168" s="12"/>
    </row>
    <row r="169">
      <c r="E169" s="12"/>
      <c r="G169" s="12"/>
      <c r="H169" s="12"/>
      <c r="I169" s="12"/>
      <c r="J169" s="12"/>
      <c r="K169" s="12"/>
      <c r="L169" s="12"/>
      <c r="M169" s="12"/>
      <c r="N169" s="12"/>
    </row>
    <row r="170">
      <c r="E170" s="12"/>
      <c r="G170" s="12"/>
      <c r="H170" s="12"/>
      <c r="I170" s="12"/>
      <c r="J170" s="12"/>
      <c r="K170" s="12"/>
      <c r="L170" s="12"/>
      <c r="M170" s="12"/>
      <c r="N170" s="12"/>
    </row>
    <row r="171">
      <c r="E171" s="12"/>
      <c r="G171" s="12"/>
      <c r="H171" s="12"/>
      <c r="I171" s="12"/>
      <c r="J171" s="12"/>
      <c r="K171" s="12"/>
      <c r="L171" s="12"/>
      <c r="M171" s="12"/>
      <c r="N171" s="12"/>
    </row>
    <row r="172">
      <c r="E172" s="12"/>
      <c r="G172" s="12"/>
      <c r="H172" s="12"/>
      <c r="I172" s="12"/>
      <c r="J172" s="12"/>
      <c r="K172" s="12"/>
      <c r="L172" s="12"/>
      <c r="M172" s="12"/>
      <c r="N172" s="12"/>
    </row>
    <row r="173">
      <c r="E173" s="12"/>
      <c r="G173" s="12"/>
      <c r="H173" s="12"/>
      <c r="I173" s="12"/>
      <c r="J173" s="12"/>
      <c r="K173" s="12"/>
      <c r="L173" s="12"/>
      <c r="M173" s="12"/>
      <c r="N173" s="12"/>
    </row>
    <row r="174">
      <c r="E174" s="12"/>
      <c r="G174" s="12"/>
      <c r="H174" s="12"/>
      <c r="I174" s="12"/>
      <c r="J174" s="12"/>
      <c r="K174" s="12"/>
      <c r="L174" s="12"/>
      <c r="M174" s="12"/>
      <c r="N174" s="12"/>
    </row>
    <row r="175">
      <c r="E175" s="12"/>
      <c r="G175" s="12"/>
      <c r="H175" s="12"/>
      <c r="I175" s="12"/>
      <c r="J175" s="12"/>
      <c r="K175" s="12"/>
      <c r="L175" s="12"/>
      <c r="M175" s="12"/>
      <c r="N175" s="12"/>
    </row>
    <row r="176">
      <c r="E176" s="12"/>
      <c r="G176" s="12"/>
      <c r="H176" s="12"/>
      <c r="I176" s="12"/>
      <c r="J176" s="12"/>
      <c r="K176" s="12"/>
      <c r="L176" s="12"/>
      <c r="M176" s="12"/>
      <c r="N176" s="12"/>
    </row>
    <row r="177">
      <c r="E177" s="12"/>
      <c r="G177" s="12"/>
      <c r="H177" s="12"/>
      <c r="I177" s="12"/>
      <c r="J177" s="12"/>
      <c r="K177" s="12"/>
      <c r="L177" s="12"/>
      <c r="M177" s="12"/>
      <c r="N177" s="12"/>
    </row>
    <row r="178">
      <c r="E178" s="12"/>
      <c r="G178" s="12"/>
      <c r="H178" s="12"/>
      <c r="I178" s="12"/>
      <c r="J178" s="12"/>
      <c r="K178" s="12"/>
      <c r="L178" s="12"/>
      <c r="M178" s="12"/>
      <c r="N178" s="12"/>
    </row>
    <row r="179">
      <c r="E179" s="12"/>
      <c r="G179" s="12"/>
      <c r="H179" s="12"/>
      <c r="I179" s="12"/>
      <c r="J179" s="12"/>
      <c r="K179" s="12"/>
      <c r="L179" s="12"/>
      <c r="M179" s="12"/>
      <c r="N179" s="12"/>
    </row>
    <row r="180">
      <c r="E180" s="12"/>
      <c r="G180" s="12"/>
      <c r="H180" s="12"/>
      <c r="I180" s="12"/>
      <c r="J180" s="12"/>
      <c r="K180" s="12"/>
      <c r="L180" s="12"/>
      <c r="M180" s="12"/>
      <c r="N180" s="12"/>
    </row>
    <row r="181">
      <c r="E181" s="12"/>
      <c r="G181" s="12"/>
      <c r="H181" s="12"/>
      <c r="I181" s="12"/>
      <c r="J181" s="12"/>
      <c r="K181" s="12"/>
      <c r="L181" s="12"/>
      <c r="M181" s="12"/>
      <c r="N181" s="12"/>
    </row>
    <row r="182">
      <c r="E182" s="12"/>
      <c r="G182" s="12"/>
      <c r="H182" s="12"/>
      <c r="I182" s="12"/>
      <c r="J182" s="12"/>
      <c r="K182" s="12"/>
      <c r="L182" s="12"/>
      <c r="M182" s="12"/>
      <c r="N182" s="12"/>
    </row>
    <row r="183">
      <c r="E183" s="12"/>
      <c r="G183" s="12"/>
      <c r="H183" s="12"/>
      <c r="I183" s="12"/>
      <c r="J183" s="12"/>
      <c r="K183" s="12"/>
      <c r="L183" s="12"/>
      <c r="M183" s="12"/>
      <c r="N183" s="12"/>
    </row>
    <row r="184">
      <c r="E184" s="12"/>
      <c r="G184" s="12"/>
      <c r="H184" s="12"/>
      <c r="I184" s="12"/>
      <c r="J184" s="12"/>
      <c r="K184" s="12"/>
      <c r="L184" s="12"/>
      <c r="M184" s="12"/>
      <c r="N184" s="12"/>
    </row>
    <row r="185">
      <c r="E185" s="12"/>
      <c r="G185" s="12"/>
      <c r="H185" s="12"/>
      <c r="I185" s="12"/>
      <c r="J185" s="12"/>
      <c r="K185" s="12"/>
      <c r="L185" s="12"/>
      <c r="M185" s="12"/>
      <c r="N185" s="12"/>
    </row>
    <row r="186">
      <c r="E186" s="12"/>
      <c r="G186" s="12"/>
      <c r="H186" s="12"/>
      <c r="I186" s="12"/>
      <c r="J186" s="12"/>
      <c r="K186" s="12"/>
      <c r="L186" s="12"/>
      <c r="M186" s="12"/>
      <c r="N186" s="12"/>
    </row>
    <row r="187">
      <c r="E187" s="12"/>
      <c r="G187" s="12"/>
      <c r="H187" s="12"/>
      <c r="I187" s="12"/>
      <c r="J187" s="12"/>
      <c r="K187" s="12"/>
      <c r="L187" s="12"/>
      <c r="M187" s="12"/>
      <c r="N187" s="12"/>
    </row>
    <row r="188">
      <c r="E188" s="12"/>
      <c r="G188" s="12"/>
      <c r="H188" s="12"/>
      <c r="I188" s="12"/>
      <c r="J188" s="12"/>
      <c r="K188" s="12"/>
      <c r="L188" s="12"/>
      <c r="M188" s="12"/>
      <c r="N188" s="12"/>
    </row>
    <row r="189">
      <c r="E189" s="12"/>
      <c r="G189" s="12"/>
      <c r="H189" s="12"/>
      <c r="I189" s="12"/>
      <c r="J189" s="12"/>
      <c r="K189" s="12"/>
      <c r="L189" s="12"/>
      <c r="M189" s="12"/>
      <c r="N189" s="12"/>
    </row>
    <row r="190">
      <c r="E190" s="12"/>
      <c r="G190" s="12"/>
      <c r="H190" s="12"/>
      <c r="I190" s="12"/>
      <c r="J190" s="12"/>
      <c r="K190" s="12"/>
      <c r="L190" s="12"/>
      <c r="M190" s="12"/>
      <c r="N190" s="12"/>
    </row>
    <row r="191">
      <c r="E191" s="12"/>
      <c r="G191" s="12"/>
      <c r="H191" s="12"/>
      <c r="I191" s="12"/>
      <c r="J191" s="12"/>
      <c r="K191" s="12"/>
      <c r="L191" s="12"/>
      <c r="M191" s="12"/>
      <c r="N191" s="12"/>
    </row>
    <row r="192">
      <c r="E192" s="12"/>
      <c r="G192" s="12"/>
      <c r="H192" s="12"/>
      <c r="I192" s="12"/>
      <c r="J192" s="12"/>
      <c r="K192" s="12"/>
      <c r="L192" s="12"/>
      <c r="M192" s="12"/>
      <c r="N192" s="12"/>
    </row>
    <row r="193">
      <c r="E193" s="12"/>
      <c r="G193" s="12"/>
      <c r="H193" s="12"/>
      <c r="I193" s="12"/>
      <c r="J193" s="12"/>
      <c r="K193" s="12"/>
      <c r="L193" s="12"/>
      <c r="M193" s="12"/>
      <c r="N193" s="12"/>
    </row>
    <row r="194">
      <c r="E194" s="12"/>
      <c r="G194" s="12"/>
      <c r="H194" s="12"/>
      <c r="I194" s="12"/>
      <c r="J194" s="12"/>
      <c r="K194" s="12"/>
      <c r="L194" s="12"/>
      <c r="M194" s="12"/>
      <c r="N194" s="12"/>
    </row>
    <row r="195">
      <c r="E195" s="12"/>
      <c r="G195" s="12"/>
      <c r="H195" s="12"/>
      <c r="I195" s="12"/>
      <c r="J195" s="12"/>
      <c r="K195" s="12"/>
      <c r="L195" s="12"/>
      <c r="M195" s="12"/>
      <c r="N195" s="12"/>
    </row>
    <row r="196">
      <c r="E196" s="12"/>
      <c r="G196" s="12"/>
      <c r="H196" s="12"/>
      <c r="I196" s="12"/>
      <c r="J196" s="12"/>
      <c r="K196" s="12"/>
      <c r="L196" s="12"/>
      <c r="M196" s="12"/>
      <c r="N196" s="12"/>
    </row>
    <row r="197">
      <c r="E197" s="12"/>
      <c r="G197" s="12"/>
      <c r="H197" s="12"/>
      <c r="I197" s="12"/>
      <c r="J197" s="12"/>
      <c r="K197" s="12"/>
      <c r="L197" s="12"/>
      <c r="M197" s="12"/>
      <c r="N197" s="12"/>
    </row>
    <row r="198">
      <c r="E198" s="12"/>
      <c r="G198" s="12"/>
      <c r="H198" s="12"/>
      <c r="I198" s="12"/>
      <c r="J198" s="12"/>
      <c r="K198" s="12"/>
      <c r="L198" s="12"/>
      <c r="M198" s="12"/>
      <c r="N198" s="12"/>
    </row>
    <row r="199">
      <c r="E199" s="12"/>
      <c r="G199" s="12"/>
      <c r="H199" s="12"/>
      <c r="I199" s="12"/>
      <c r="J199" s="12"/>
      <c r="K199" s="12"/>
      <c r="L199" s="12"/>
      <c r="M199" s="12"/>
      <c r="N199" s="12"/>
    </row>
    <row r="200">
      <c r="E200" s="12"/>
      <c r="G200" s="12"/>
      <c r="H200" s="12"/>
      <c r="I200" s="12"/>
      <c r="J200" s="12"/>
      <c r="K200" s="12"/>
      <c r="L200" s="12"/>
      <c r="M200" s="12"/>
      <c r="N200" s="12"/>
    </row>
    <row r="201">
      <c r="E201" s="12"/>
      <c r="G201" s="12"/>
      <c r="H201" s="12"/>
      <c r="I201" s="12"/>
      <c r="J201" s="12"/>
      <c r="K201" s="12"/>
      <c r="L201" s="12"/>
      <c r="M201" s="12"/>
      <c r="N201" s="12"/>
    </row>
    <row r="202">
      <c r="E202" s="12"/>
      <c r="G202" s="12"/>
      <c r="H202" s="12"/>
      <c r="I202" s="12"/>
      <c r="J202" s="12"/>
      <c r="K202" s="12"/>
      <c r="L202" s="12"/>
      <c r="M202" s="12"/>
      <c r="N202" s="12"/>
    </row>
    <row r="203">
      <c r="E203" s="12"/>
      <c r="G203" s="12"/>
      <c r="H203" s="12"/>
      <c r="I203" s="12"/>
      <c r="J203" s="12"/>
      <c r="K203" s="12"/>
      <c r="L203" s="12"/>
      <c r="M203" s="12"/>
      <c r="N203" s="12"/>
    </row>
    <row r="204">
      <c r="E204" s="12"/>
      <c r="G204" s="12"/>
      <c r="H204" s="12"/>
      <c r="I204" s="12"/>
      <c r="J204" s="12"/>
      <c r="K204" s="12"/>
      <c r="L204" s="12"/>
      <c r="M204" s="12"/>
      <c r="N204" s="12"/>
    </row>
    <row r="205">
      <c r="E205" s="12"/>
      <c r="G205" s="12"/>
      <c r="H205" s="12"/>
      <c r="I205" s="12"/>
      <c r="J205" s="12"/>
      <c r="K205" s="12"/>
      <c r="L205" s="12"/>
      <c r="M205" s="12"/>
      <c r="N205" s="12"/>
    </row>
    <row r="206">
      <c r="E206" s="12"/>
      <c r="G206" s="12"/>
      <c r="H206" s="12"/>
      <c r="I206" s="12"/>
      <c r="J206" s="12"/>
      <c r="K206" s="12"/>
      <c r="L206" s="12"/>
      <c r="M206" s="12"/>
      <c r="N206" s="12"/>
    </row>
    <row r="207">
      <c r="E207" s="12"/>
      <c r="G207" s="12"/>
      <c r="H207" s="12"/>
      <c r="I207" s="12"/>
      <c r="J207" s="12"/>
      <c r="K207" s="12"/>
      <c r="L207" s="12"/>
      <c r="M207" s="12"/>
      <c r="N207" s="12"/>
    </row>
    <row r="208">
      <c r="E208" s="12"/>
      <c r="G208" s="12"/>
      <c r="H208" s="12"/>
      <c r="I208" s="12"/>
      <c r="J208" s="12"/>
      <c r="K208" s="12"/>
      <c r="L208" s="12"/>
      <c r="M208" s="12"/>
      <c r="N208" s="12"/>
    </row>
    <row r="209">
      <c r="E209" s="12"/>
      <c r="G209" s="12"/>
      <c r="H209" s="12"/>
      <c r="I209" s="12"/>
      <c r="J209" s="12"/>
      <c r="K209" s="12"/>
      <c r="L209" s="12"/>
      <c r="M209" s="12"/>
      <c r="N209" s="12"/>
    </row>
    <row r="210">
      <c r="E210" s="12"/>
      <c r="G210" s="12"/>
      <c r="H210" s="12"/>
      <c r="I210" s="12"/>
      <c r="J210" s="12"/>
      <c r="K210" s="12"/>
      <c r="L210" s="12"/>
      <c r="M210" s="12"/>
      <c r="N210" s="12"/>
    </row>
    <row r="211">
      <c r="E211" s="12"/>
      <c r="G211" s="12"/>
      <c r="H211" s="12"/>
      <c r="I211" s="12"/>
      <c r="J211" s="12"/>
      <c r="K211" s="12"/>
      <c r="L211" s="12"/>
      <c r="M211" s="12"/>
      <c r="N211" s="12"/>
    </row>
    <row r="212">
      <c r="E212" s="12"/>
      <c r="G212" s="12"/>
      <c r="H212" s="12"/>
      <c r="I212" s="12"/>
      <c r="J212" s="12"/>
      <c r="K212" s="12"/>
      <c r="L212" s="12"/>
      <c r="M212" s="12"/>
      <c r="N212" s="12"/>
    </row>
    <row r="213">
      <c r="E213" s="12"/>
      <c r="G213" s="12"/>
      <c r="H213" s="12"/>
      <c r="I213" s="12"/>
      <c r="J213" s="12"/>
      <c r="K213" s="12"/>
      <c r="L213" s="12"/>
      <c r="M213" s="12"/>
      <c r="N213" s="12"/>
    </row>
    <row r="214">
      <c r="E214" s="12"/>
      <c r="G214" s="12"/>
      <c r="H214" s="12"/>
      <c r="I214" s="12"/>
      <c r="J214" s="12"/>
      <c r="K214" s="12"/>
      <c r="L214" s="12"/>
      <c r="M214" s="12"/>
      <c r="N214" s="12"/>
    </row>
    <row r="215">
      <c r="E215" s="12"/>
      <c r="G215" s="12"/>
      <c r="H215" s="12"/>
      <c r="I215" s="12"/>
      <c r="J215" s="12"/>
      <c r="K215" s="12"/>
      <c r="L215" s="12"/>
      <c r="M215" s="12"/>
      <c r="N215" s="12"/>
    </row>
    <row r="216">
      <c r="E216" s="12"/>
      <c r="G216" s="12"/>
      <c r="H216" s="12"/>
      <c r="I216" s="12"/>
      <c r="J216" s="12"/>
      <c r="K216" s="12"/>
      <c r="L216" s="12"/>
      <c r="M216" s="12"/>
      <c r="N216" s="12"/>
    </row>
    <row r="217">
      <c r="E217" s="12"/>
      <c r="G217" s="12"/>
      <c r="H217" s="12"/>
      <c r="I217" s="12"/>
      <c r="J217" s="12"/>
      <c r="K217" s="12"/>
      <c r="L217" s="12"/>
      <c r="M217" s="12"/>
      <c r="N217" s="12"/>
    </row>
    <row r="218">
      <c r="E218" s="12"/>
      <c r="G218" s="12"/>
      <c r="H218" s="12"/>
      <c r="I218" s="12"/>
      <c r="J218" s="12"/>
      <c r="K218" s="12"/>
      <c r="L218" s="12"/>
      <c r="M218" s="12"/>
      <c r="N218" s="12"/>
    </row>
    <row r="219">
      <c r="E219" s="12"/>
      <c r="G219" s="12"/>
      <c r="H219" s="12"/>
      <c r="I219" s="12"/>
      <c r="J219" s="12"/>
      <c r="K219" s="12"/>
      <c r="L219" s="12"/>
      <c r="M219" s="12"/>
      <c r="N219" s="12"/>
    </row>
    <row r="220">
      <c r="E220" s="12"/>
      <c r="G220" s="12"/>
      <c r="H220" s="12"/>
      <c r="I220" s="12"/>
      <c r="J220" s="12"/>
      <c r="K220" s="12"/>
      <c r="L220" s="12"/>
      <c r="M220" s="12"/>
      <c r="N220" s="12"/>
    </row>
    <row r="221">
      <c r="E221" s="12"/>
      <c r="G221" s="12"/>
      <c r="H221" s="12"/>
      <c r="I221" s="12"/>
      <c r="J221" s="12"/>
      <c r="K221" s="12"/>
      <c r="L221" s="12"/>
      <c r="M221" s="12"/>
      <c r="N221" s="12"/>
    </row>
    <row r="222">
      <c r="E222" s="12"/>
      <c r="G222" s="12"/>
      <c r="H222" s="12"/>
      <c r="I222" s="12"/>
      <c r="J222" s="12"/>
      <c r="K222" s="12"/>
      <c r="L222" s="12"/>
      <c r="M222" s="12"/>
      <c r="N222" s="12"/>
    </row>
    <row r="223">
      <c r="E223" s="12"/>
      <c r="G223" s="12"/>
      <c r="H223" s="12"/>
      <c r="I223" s="12"/>
      <c r="J223" s="12"/>
      <c r="K223" s="12"/>
      <c r="L223" s="12"/>
      <c r="M223" s="12"/>
      <c r="N223" s="12"/>
    </row>
    <row r="224">
      <c r="E224" s="12"/>
      <c r="G224" s="12"/>
      <c r="H224" s="12"/>
      <c r="I224" s="12"/>
      <c r="J224" s="12"/>
      <c r="K224" s="12"/>
      <c r="L224" s="12"/>
      <c r="M224" s="12"/>
      <c r="N224" s="12"/>
    </row>
    <row r="225">
      <c r="E225" s="12"/>
      <c r="G225" s="12"/>
      <c r="H225" s="12"/>
      <c r="I225" s="12"/>
      <c r="J225" s="12"/>
      <c r="K225" s="12"/>
      <c r="L225" s="12"/>
      <c r="M225" s="12"/>
      <c r="N225" s="12"/>
    </row>
    <row r="226">
      <c r="E226" s="12"/>
      <c r="G226" s="12"/>
      <c r="H226" s="12"/>
      <c r="I226" s="12"/>
      <c r="J226" s="12"/>
      <c r="K226" s="12"/>
      <c r="L226" s="12"/>
      <c r="M226" s="12"/>
      <c r="N226" s="12"/>
    </row>
    <row r="227">
      <c r="E227" s="12"/>
      <c r="G227" s="12"/>
      <c r="H227" s="12"/>
      <c r="I227" s="12"/>
      <c r="J227" s="12"/>
      <c r="K227" s="12"/>
      <c r="L227" s="12"/>
      <c r="M227" s="12"/>
      <c r="N227" s="12"/>
    </row>
    <row r="228">
      <c r="E228" s="12"/>
      <c r="G228" s="12"/>
      <c r="H228" s="12"/>
      <c r="I228" s="12"/>
      <c r="J228" s="12"/>
      <c r="K228" s="12"/>
      <c r="L228" s="12"/>
      <c r="M228" s="12"/>
      <c r="N228" s="12"/>
    </row>
    <row r="229">
      <c r="E229" s="12"/>
      <c r="G229" s="12"/>
      <c r="H229" s="12"/>
      <c r="I229" s="12"/>
      <c r="J229" s="12"/>
      <c r="K229" s="12"/>
      <c r="L229" s="12"/>
      <c r="M229" s="12"/>
      <c r="N229" s="12"/>
    </row>
    <row r="230">
      <c r="E230" s="12"/>
      <c r="G230" s="12"/>
      <c r="H230" s="12"/>
      <c r="I230" s="12"/>
      <c r="J230" s="12"/>
      <c r="K230" s="12"/>
      <c r="L230" s="12"/>
      <c r="M230" s="12"/>
      <c r="N230" s="12"/>
    </row>
    <row r="231">
      <c r="E231" s="12"/>
      <c r="G231" s="12"/>
      <c r="H231" s="12"/>
      <c r="I231" s="12"/>
      <c r="J231" s="12"/>
      <c r="K231" s="12"/>
      <c r="L231" s="12"/>
      <c r="M231" s="12"/>
      <c r="N231" s="12"/>
    </row>
    <row r="232">
      <c r="E232" s="12"/>
      <c r="G232" s="12"/>
      <c r="H232" s="12"/>
      <c r="I232" s="12"/>
      <c r="J232" s="12"/>
      <c r="K232" s="12"/>
      <c r="L232" s="12"/>
      <c r="M232" s="12"/>
      <c r="N232" s="12"/>
    </row>
    <row r="233">
      <c r="E233" s="12"/>
      <c r="G233" s="12"/>
      <c r="H233" s="12"/>
      <c r="I233" s="12"/>
      <c r="J233" s="12"/>
      <c r="K233" s="12"/>
      <c r="L233" s="12"/>
      <c r="M233" s="12"/>
      <c r="N233" s="12"/>
    </row>
    <row r="234">
      <c r="E234" s="12"/>
      <c r="G234" s="12"/>
      <c r="H234" s="12"/>
      <c r="I234" s="12"/>
      <c r="J234" s="12"/>
      <c r="K234" s="12"/>
      <c r="L234" s="12"/>
      <c r="M234" s="12"/>
      <c r="N234" s="12"/>
    </row>
    <row r="235">
      <c r="E235" s="12"/>
      <c r="G235" s="12"/>
      <c r="H235" s="12"/>
      <c r="I235" s="12"/>
      <c r="J235" s="12"/>
      <c r="K235" s="12"/>
      <c r="L235" s="12"/>
      <c r="M235" s="12"/>
      <c r="N235" s="12"/>
    </row>
    <row r="236">
      <c r="E236" s="12"/>
      <c r="G236" s="12"/>
      <c r="H236" s="12"/>
      <c r="I236" s="12"/>
      <c r="J236" s="12"/>
      <c r="K236" s="12"/>
      <c r="L236" s="12"/>
      <c r="M236" s="12"/>
      <c r="N236" s="12"/>
    </row>
    <row r="237">
      <c r="E237" s="12"/>
      <c r="G237" s="12"/>
      <c r="H237" s="12"/>
      <c r="I237" s="12"/>
      <c r="J237" s="12"/>
      <c r="K237" s="12"/>
      <c r="L237" s="12"/>
      <c r="M237" s="12"/>
      <c r="N237" s="12"/>
    </row>
    <row r="238">
      <c r="E238" s="12"/>
      <c r="G238" s="12"/>
      <c r="H238" s="12"/>
      <c r="I238" s="12"/>
      <c r="J238" s="12"/>
      <c r="K238" s="12"/>
      <c r="L238" s="12"/>
      <c r="M238" s="12"/>
      <c r="N238" s="12"/>
    </row>
    <row r="239">
      <c r="E239" s="12"/>
      <c r="G239" s="12"/>
      <c r="H239" s="12"/>
      <c r="I239" s="12"/>
      <c r="J239" s="12"/>
      <c r="K239" s="12"/>
      <c r="L239" s="12"/>
      <c r="M239" s="12"/>
      <c r="N239" s="12"/>
    </row>
    <row r="240">
      <c r="E240" s="12"/>
      <c r="G240" s="12"/>
      <c r="H240" s="12"/>
      <c r="I240" s="12"/>
      <c r="J240" s="12"/>
      <c r="K240" s="12"/>
      <c r="L240" s="12"/>
      <c r="M240" s="12"/>
      <c r="N240" s="12"/>
    </row>
    <row r="241">
      <c r="E241" s="12"/>
      <c r="G241" s="12"/>
      <c r="H241" s="12"/>
      <c r="I241" s="12"/>
      <c r="J241" s="12"/>
      <c r="K241" s="12"/>
      <c r="L241" s="12"/>
      <c r="M241" s="12"/>
      <c r="N241" s="12"/>
    </row>
    <row r="242">
      <c r="E242" s="12"/>
      <c r="G242" s="12"/>
      <c r="H242" s="12"/>
      <c r="I242" s="12"/>
      <c r="J242" s="12"/>
      <c r="K242" s="12"/>
      <c r="L242" s="12"/>
      <c r="M242" s="12"/>
      <c r="N242" s="12"/>
    </row>
    <row r="243">
      <c r="E243" s="12"/>
      <c r="G243" s="12"/>
      <c r="H243" s="12"/>
      <c r="I243" s="12"/>
      <c r="J243" s="12"/>
      <c r="K243" s="12"/>
      <c r="L243" s="12"/>
      <c r="M243" s="12"/>
      <c r="N243" s="12"/>
    </row>
    <row r="244">
      <c r="E244" s="12"/>
      <c r="G244" s="12"/>
      <c r="H244" s="12"/>
      <c r="I244" s="12"/>
      <c r="J244" s="12"/>
      <c r="K244" s="12"/>
      <c r="L244" s="12"/>
      <c r="M244" s="12"/>
      <c r="N244" s="12"/>
    </row>
    <row r="245">
      <c r="E245" s="12"/>
      <c r="G245" s="12"/>
      <c r="H245" s="12"/>
      <c r="I245" s="12"/>
      <c r="J245" s="12"/>
      <c r="K245" s="12"/>
      <c r="L245" s="12"/>
      <c r="M245" s="12"/>
      <c r="N245" s="12"/>
    </row>
    <row r="246">
      <c r="E246" s="12"/>
      <c r="G246" s="12"/>
      <c r="H246" s="12"/>
      <c r="I246" s="12"/>
      <c r="J246" s="12"/>
      <c r="K246" s="12"/>
      <c r="L246" s="12"/>
      <c r="M246" s="12"/>
      <c r="N246" s="12"/>
    </row>
    <row r="247">
      <c r="E247" s="12"/>
      <c r="G247" s="12"/>
      <c r="H247" s="12"/>
      <c r="I247" s="12"/>
      <c r="J247" s="12"/>
      <c r="K247" s="12"/>
      <c r="L247" s="12"/>
      <c r="M247" s="12"/>
      <c r="N247" s="12"/>
    </row>
    <row r="248">
      <c r="E248" s="12"/>
      <c r="G248" s="12"/>
      <c r="H248" s="12"/>
      <c r="I248" s="12"/>
      <c r="J248" s="12"/>
      <c r="K248" s="12"/>
      <c r="L248" s="12"/>
      <c r="M248" s="12"/>
      <c r="N248" s="12"/>
    </row>
    <row r="249">
      <c r="E249" s="12"/>
      <c r="G249" s="12"/>
      <c r="H249" s="12"/>
      <c r="I249" s="12"/>
      <c r="J249" s="12"/>
      <c r="K249" s="12"/>
      <c r="L249" s="12"/>
      <c r="M249" s="12"/>
      <c r="N249" s="12"/>
    </row>
    <row r="250">
      <c r="E250" s="12"/>
      <c r="G250" s="12"/>
      <c r="H250" s="12"/>
      <c r="I250" s="12"/>
      <c r="J250" s="12"/>
      <c r="K250" s="12"/>
      <c r="L250" s="12"/>
      <c r="M250" s="12"/>
      <c r="N250" s="12"/>
    </row>
    <row r="251">
      <c r="E251" s="12"/>
      <c r="G251" s="12"/>
      <c r="H251" s="12"/>
      <c r="I251" s="12"/>
      <c r="J251" s="12"/>
      <c r="K251" s="12"/>
      <c r="L251" s="12"/>
      <c r="M251" s="12"/>
      <c r="N251" s="12"/>
    </row>
    <row r="252">
      <c r="E252" s="12"/>
      <c r="G252" s="12"/>
      <c r="H252" s="12"/>
      <c r="I252" s="12"/>
      <c r="J252" s="12"/>
      <c r="K252" s="12"/>
      <c r="L252" s="12"/>
      <c r="M252" s="12"/>
      <c r="N252" s="12"/>
    </row>
    <row r="253">
      <c r="E253" s="12"/>
      <c r="G253" s="12"/>
      <c r="H253" s="12"/>
      <c r="I253" s="12"/>
      <c r="J253" s="12"/>
      <c r="K253" s="12"/>
      <c r="L253" s="12"/>
      <c r="M253" s="12"/>
      <c r="N253" s="12"/>
    </row>
    <row r="254">
      <c r="E254" s="12"/>
      <c r="G254" s="12"/>
      <c r="H254" s="12"/>
      <c r="I254" s="12"/>
      <c r="J254" s="12"/>
      <c r="K254" s="12"/>
      <c r="L254" s="12"/>
      <c r="M254" s="12"/>
      <c r="N254" s="12"/>
    </row>
    <row r="255">
      <c r="E255" s="12"/>
      <c r="G255" s="12"/>
      <c r="H255" s="12"/>
      <c r="I255" s="12"/>
      <c r="J255" s="12"/>
      <c r="K255" s="12"/>
      <c r="L255" s="12"/>
      <c r="M255" s="12"/>
      <c r="N255" s="12"/>
    </row>
    <row r="256">
      <c r="E256" s="12"/>
      <c r="G256" s="12"/>
      <c r="H256" s="12"/>
      <c r="I256" s="12"/>
      <c r="J256" s="12"/>
      <c r="K256" s="12"/>
      <c r="L256" s="12"/>
      <c r="M256" s="12"/>
      <c r="N256" s="12"/>
    </row>
    <row r="257">
      <c r="E257" s="12"/>
      <c r="G257" s="12"/>
      <c r="H257" s="12"/>
      <c r="I257" s="12"/>
      <c r="J257" s="12"/>
      <c r="K257" s="12"/>
      <c r="L257" s="12"/>
      <c r="M257" s="12"/>
      <c r="N257" s="12"/>
    </row>
    <row r="258">
      <c r="E258" s="12"/>
      <c r="G258" s="12"/>
      <c r="H258" s="12"/>
      <c r="I258" s="12"/>
      <c r="J258" s="12"/>
      <c r="K258" s="12"/>
      <c r="L258" s="12"/>
      <c r="M258" s="12"/>
      <c r="N258" s="12"/>
    </row>
    <row r="259">
      <c r="E259" s="12"/>
      <c r="G259" s="12"/>
      <c r="H259" s="12"/>
      <c r="I259" s="12"/>
      <c r="J259" s="12"/>
      <c r="K259" s="12"/>
      <c r="L259" s="12"/>
      <c r="M259" s="12"/>
      <c r="N259" s="12"/>
    </row>
    <row r="260">
      <c r="E260" s="12"/>
      <c r="G260" s="12"/>
      <c r="H260" s="12"/>
      <c r="I260" s="12"/>
      <c r="J260" s="12"/>
      <c r="K260" s="12"/>
      <c r="L260" s="12"/>
      <c r="M260" s="12"/>
      <c r="N260" s="12"/>
    </row>
    <row r="261">
      <c r="E261" s="12"/>
      <c r="G261" s="12"/>
      <c r="H261" s="12"/>
      <c r="I261" s="12"/>
      <c r="J261" s="12"/>
      <c r="K261" s="12"/>
      <c r="L261" s="12"/>
      <c r="M261" s="12"/>
      <c r="N261" s="12"/>
    </row>
    <row r="262">
      <c r="E262" s="12"/>
      <c r="G262" s="12"/>
      <c r="H262" s="12"/>
      <c r="I262" s="12"/>
      <c r="J262" s="12"/>
      <c r="K262" s="12"/>
      <c r="L262" s="12"/>
      <c r="M262" s="12"/>
      <c r="N262" s="12"/>
    </row>
    <row r="263">
      <c r="E263" s="12"/>
      <c r="G263" s="12"/>
      <c r="H263" s="12"/>
      <c r="I263" s="12"/>
      <c r="J263" s="12"/>
      <c r="K263" s="12"/>
      <c r="L263" s="12"/>
      <c r="M263" s="12"/>
      <c r="N263" s="12"/>
    </row>
    <row r="264">
      <c r="E264" s="12"/>
      <c r="G264" s="12"/>
      <c r="H264" s="12"/>
      <c r="I264" s="12"/>
      <c r="J264" s="12"/>
      <c r="K264" s="12"/>
      <c r="L264" s="12"/>
      <c r="M264" s="12"/>
      <c r="N264" s="12"/>
    </row>
    <row r="265">
      <c r="E265" s="12"/>
      <c r="G265" s="12"/>
      <c r="H265" s="12"/>
      <c r="I265" s="12"/>
      <c r="J265" s="12"/>
      <c r="K265" s="12"/>
      <c r="L265" s="12"/>
      <c r="M265" s="12"/>
      <c r="N265" s="12"/>
    </row>
    <row r="266">
      <c r="E266" s="12"/>
      <c r="G266" s="12"/>
      <c r="H266" s="12"/>
      <c r="I266" s="12"/>
      <c r="J266" s="12"/>
      <c r="K266" s="12"/>
      <c r="L266" s="12"/>
      <c r="M266" s="12"/>
      <c r="N266" s="12"/>
    </row>
    <row r="267">
      <c r="E267" s="12"/>
      <c r="G267" s="12"/>
      <c r="H267" s="12"/>
      <c r="I267" s="12"/>
      <c r="J267" s="12"/>
      <c r="K267" s="12"/>
      <c r="L267" s="12"/>
      <c r="M267" s="12"/>
      <c r="N267" s="12"/>
    </row>
    <row r="268">
      <c r="E268" s="12"/>
      <c r="G268" s="12"/>
      <c r="H268" s="12"/>
      <c r="I268" s="12"/>
      <c r="J268" s="12"/>
      <c r="K268" s="12"/>
      <c r="L268" s="12"/>
      <c r="M268" s="12"/>
      <c r="N268" s="12"/>
    </row>
    <row r="269">
      <c r="E269" s="12"/>
      <c r="G269" s="12"/>
      <c r="H269" s="12"/>
      <c r="I269" s="12"/>
      <c r="J269" s="12"/>
      <c r="K269" s="12"/>
      <c r="L269" s="12"/>
      <c r="M269" s="12"/>
      <c r="N269" s="12"/>
    </row>
    <row r="270">
      <c r="E270" s="12"/>
      <c r="G270" s="12"/>
      <c r="H270" s="12"/>
      <c r="I270" s="12"/>
      <c r="J270" s="12"/>
      <c r="K270" s="12"/>
      <c r="L270" s="12"/>
      <c r="M270" s="12"/>
      <c r="N270" s="12"/>
    </row>
    <row r="271">
      <c r="E271" s="12"/>
      <c r="G271" s="12"/>
      <c r="H271" s="12"/>
      <c r="I271" s="12"/>
      <c r="J271" s="12"/>
      <c r="K271" s="12"/>
      <c r="L271" s="12"/>
      <c r="M271" s="12"/>
      <c r="N271" s="12"/>
    </row>
    <row r="272">
      <c r="E272" s="12"/>
      <c r="G272" s="12"/>
      <c r="H272" s="12"/>
      <c r="I272" s="12"/>
      <c r="J272" s="12"/>
      <c r="K272" s="12"/>
      <c r="L272" s="12"/>
      <c r="M272" s="12"/>
      <c r="N272" s="12"/>
    </row>
    <row r="273">
      <c r="E273" s="12"/>
      <c r="G273" s="12"/>
      <c r="H273" s="12"/>
      <c r="I273" s="12"/>
      <c r="J273" s="12"/>
      <c r="K273" s="12"/>
      <c r="L273" s="12"/>
      <c r="M273" s="12"/>
      <c r="N273" s="12"/>
    </row>
    <row r="274">
      <c r="E274" s="12"/>
      <c r="G274" s="12"/>
      <c r="H274" s="12"/>
      <c r="I274" s="12"/>
      <c r="J274" s="12"/>
      <c r="K274" s="12"/>
      <c r="L274" s="12"/>
      <c r="M274" s="12"/>
      <c r="N274" s="12"/>
    </row>
    <row r="275">
      <c r="E275" s="12"/>
      <c r="G275" s="12"/>
      <c r="H275" s="12"/>
      <c r="I275" s="12"/>
      <c r="J275" s="12"/>
      <c r="K275" s="12"/>
      <c r="L275" s="12"/>
      <c r="M275" s="12"/>
      <c r="N275" s="12"/>
    </row>
    <row r="276">
      <c r="E276" s="12"/>
      <c r="G276" s="12"/>
      <c r="H276" s="12"/>
      <c r="I276" s="12"/>
      <c r="J276" s="12"/>
      <c r="K276" s="12"/>
      <c r="L276" s="12"/>
      <c r="M276" s="12"/>
      <c r="N276" s="12"/>
    </row>
    <row r="277">
      <c r="E277" s="12"/>
      <c r="G277" s="12"/>
      <c r="H277" s="12"/>
      <c r="I277" s="12"/>
      <c r="J277" s="12"/>
      <c r="K277" s="12"/>
      <c r="L277" s="12"/>
      <c r="M277" s="12"/>
      <c r="N277" s="12"/>
    </row>
    <row r="278">
      <c r="E278" s="12"/>
      <c r="G278" s="12"/>
      <c r="H278" s="12"/>
      <c r="I278" s="12"/>
      <c r="J278" s="12"/>
      <c r="K278" s="12"/>
      <c r="L278" s="12"/>
      <c r="M278" s="12"/>
      <c r="N278" s="12"/>
    </row>
    <row r="279">
      <c r="E279" s="12"/>
      <c r="G279" s="12"/>
      <c r="H279" s="12"/>
      <c r="I279" s="12"/>
      <c r="J279" s="12"/>
      <c r="K279" s="12"/>
      <c r="L279" s="12"/>
      <c r="M279" s="12"/>
      <c r="N279" s="12"/>
    </row>
    <row r="280">
      <c r="E280" s="12"/>
      <c r="G280" s="12"/>
      <c r="H280" s="12"/>
      <c r="I280" s="12"/>
      <c r="J280" s="12"/>
      <c r="K280" s="12"/>
      <c r="L280" s="12"/>
      <c r="M280" s="12"/>
      <c r="N280" s="12"/>
    </row>
    <row r="281">
      <c r="E281" s="12"/>
      <c r="G281" s="12"/>
      <c r="H281" s="12"/>
      <c r="I281" s="12"/>
      <c r="J281" s="12"/>
      <c r="K281" s="12"/>
      <c r="L281" s="12"/>
      <c r="M281" s="12"/>
      <c r="N281" s="12"/>
    </row>
    <row r="282">
      <c r="E282" s="12"/>
      <c r="G282" s="12"/>
      <c r="H282" s="12"/>
      <c r="I282" s="12"/>
      <c r="J282" s="12"/>
      <c r="K282" s="12"/>
      <c r="L282" s="12"/>
      <c r="M282" s="12"/>
      <c r="N282" s="12"/>
    </row>
    <row r="283">
      <c r="E283" s="12"/>
      <c r="G283" s="12"/>
      <c r="H283" s="12"/>
      <c r="I283" s="12"/>
      <c r="J283" s="12"/>
      <c r="K283" s="12"/>
      <c r="L283" s="12"/>
      <c r="M283" s="12"/>
      <c r="N283" s="12"/>
    </row>
    <row r="284">
      <c r="E284" s="12"/>
      <c r="G284" s="12"/>
      <c r="H284" s="12"/>
      <c r="I284" s="12"/>
      <c r="J284" s="12"/>
      <c r="K284" s="12"/>
      <c r="L284" s="12"/>
      <c r="M284" s="12"/>
      <c r="N284" s="12"/>
    </row>
    <row r="285">
      <c r="E285" s="12"/>
      <c r="G285" s="12"/>
      <c r="H285" s="12"/>
      <c r="I285" s="12"/>
      <c r="J285" s="12"/>
      <c r="K285" s="12"/>
      <c r="L285" s="12"/>
      <c r="M285" s="12"/>
      <c r="N285" s="12"/>
    </row>
    <row r="286">
      <c r="E286" s="12"/>
      <c r="G286" s="12"/>
      <c r="H286" s="12"/>
      <c r="I286" s="12"/>
      <c r="J286" s="12"/>
      <c r="K286" s="12"/>
      <c r="L286" s="12"/>
      <c r="M286" s="12"/>
      <c r="N286" s="12"/>
    </row>
    <row r="287">
      <c r="E287" s="12"/>
      <c r="G287" s="12"/>
      <c r="H287" s="12"/>
      <c r="I287" s="12"/>
      <c r="J287" s="12"/>
      <c r="K287" s="12"/>
      <c r="L287" s="12"/>
      <c r="M287" s="12"/>
      <c r="N287" s="12"/>
    </row>
    <row r="288">
      <c r="E288" s="12"/>
      <c r="G288" s="12"/>
      <c r="H288" s="12"/>
      <c r="I288" s="12"/>
      <c r="J288" s="12"/>
      <c r="K288" s="12"/>
      <c r="L288" s="12"/>
      <c r="M288" s="12"/>
      <c r="N288" s="12"/>
    </row>
    <row r="289">
      <c r="E289" s="12"/>
      <c r="G289" s="12"/>
      <c r="H289" s="12"/>
      <c r="I289" s="12"/>
      <c r="J289" s="12"/>
      <c r="K289" s="12"/>
      <c r="L289" s="12"/>
      <c r="M289" s="12"/>
      <c r="N289" s="12"/>
    </row>
    <row r="290">
      <c r="E290" s="12"/>
      <c r="G290" s="12"/>
      <c r="H290" s="12"/>
      <c r="I290" s="12"/>
      <c r="J290" s="12"/>
      <c r="K290" s="12"/>
      <c r="L290" s="12"/>
      <c r="M290" s="12"/>
      <c r="N290" s="12"/>
    </row>
    <row r="291">
      <c r="E291" s="12"/>
      <c r="G291" s="12"/>
      <c r="H291" s="12"/>
      <c r="I291" s="12"/>
      <c r="J291" s="12"/>
      <c r="K291" s="12"/>
      <c r="L291" s="12"/>
      <c r="M291" s="12"/>
      <c r="N291" s="12"/>
    </row>
    <row r="292">
      <c r="E292" s="12"/>
      <c r="G292" s="12"/>
      <c r="H292" s="12"/>
      <c r="I292" s="12"/>
      <c r="J292" s="12"/>
      <c r="K292" s="12"/>
      <c r="L292" s="12"/>
      <c r="M292" s="12"/>
      <c r="N292" s="12"/>
    </row>
    <row r="293">
      <c r="E293" s="12"/>
      <c r="G293" s="12"/>
      <c r="H293" s="12"/>
      <c r="I293" s="12"/>
      <c r="J293" s="12"/>
      <c r="K293" s="12"/>
      <c r="L293" s="12"/>
      <c r="M293" s="12"/>
      <c r="N293" s="12"/>
    </row>
    <row r="294">
      <c r="E294" s="12"/>
      <c r="G294" s="12"/>
      <c r="H294" s="12"/>
      <c r="I294" s="12"/>
      <c r="J294" s="12"/>
      <c r="K294" s="12"/>
      <c r="L294" s="12"/>
      <c r="M294" s="12"/>
      <c r="N294" s="12"/>
    </row>
    <row r="295">
      <c r="E295" s="12"/>
      <c r="G295" s="12"/>
      <c r="H295" s="12"/>
      <c r="I295" s="12"/>
      <c r="J295" s="12"/>
      <c r="K295" s="12"/>
      <c r="L295" s="12"/>
      <c r="M295" s="12"/>
      <c r="N295" s="12"/>
    </row>
    <row r="296">
      <c r="E296" s="12"/>
      <c r="G296" s="12"/>
      <c r="H296" s="12"/>
      <c r="I296" s="12"/>
      <c r="J296" s="12"/>
      <c r="K296" s="12"/>
      <c r="L296" s="12"/>
      <c r="M296" s="12"/>
      <c r="N296" s="12"/>
    </row>
    <row r="297">
      <c r="E297" s="12"/>
      <c r="G297" s="12"/>
      <c r="H297" s="12"/>
      <c r="I297" s="12"/>
      <c r="J297" s="12"/>
      <c r="K297" s="12"/>
      <c r="L297" s="12"/>
      <c r="M297" s="12"/>
      <c r="N297" s="12"/>
    </row>
    <row r="298">
      <c r="E298" s="12"/>
      <c r="G298" s="12"/>
      <c r="H298" s="12"/>
      <c r="I298" s="12"/>
      <c r="J298" s="12"/>
      <c r="K298" s="12"/>
      <c r="L298" s="12"/>
      <c r="M298" s="12"/>
      <c r="N298" s="12"/>
    </row>
    <row r="299">
      <c r="E299" s="12"/>
      <c r="G299" s="12"/>
      <c r="H299" s="12"/>
      <c r="I299" s="12"/>
      <c r="J299" s="12"/>
      <c r="K299" s="12"/>
      <c r="L299" s="12"/>
      <c r="M299" s="12"/>
      <c r="N299" s="12"/>
    </row>
    <row r="300">
      <c r="E300" s="12"/>
      <c r="G300" s="12"/>
      <c r="H300" s="12"/>
      <c r="I300" s="12"/>
      <c r="J300" s="12"/>
      <c r="K300" s="12"/>
      <c r="L300" s="12"/>
      <c r="M300" s="12"/>
      <c r="N300" s="12"/>
    </row>
    <row r="301">
      <c r="E301" s="12"/>
      <c r="G301" s="12"/>
      <c r="H301" s="12"/>
      <c r="I301" s="12"/>
      <c r="J301" s="12"/>
      <c r="K301" s="12"/>
      <c r="L301" s="12"/>
      <c r="M301" s="12"/>
      <c r="N301" s="12"/>
    </row>
    <row r="302">
      <c r="E302" s="12"/>
      <c r="G302" s="12"/>
      <c r="H302" s="12"/>
      <c r="I302" s="12"/>
      <c r="J302" s="12"/>
      <c r="K302" s="12"/>
      <c r="L302" s="12"/>
      <c r="M302" s="12"/>
      <c r="N302" s="12"/>
    </row>
    <row r="303">
      <c r="E303" s="12"/>
      <c r="G303" s="12"/>
      <c r="H303" s="12"/>
      <c r="I303" s="12"/>
      <c r="J303" s="12"/>
      <c r="K303" s="12"/>
      <c r="L303" s="12"/>
      <c r="M303" s="12"/>
      <c r="N303" s="12"/>
    </row>
    <row r="304">
      <c r="E304" s="12"/>
      <c r="G304" s="12"/>
      <c r="H304" s="12"/>
      <c r="I304" s="12"/>
      <c r="J304" s="12"/>
      <c r="K304" s="12"/>
      <c r="L304" s="12"/>
      <c r="M304" s="12"/>
      <c r="N304" s="12"/>
    </row>
    <row r="305">
      <c r="E305" s="12"/>
      <c r="G305" s="12"/>
      <c r="H305" s="12"/>
      <c r="I305" s="12"/>
      <c r="J305" s="12"/>
      <c r="K305" s="12"/>
      <c r="L305" s="12"/>
      <c r="M305" s="12"/>
      <c r="N305" s="12"/>
    </row>
    <row r="306">
      <c r="E306" s="12"/>
      <c r="G306" s="12"/>
      <c r="H306" s="12"/>
      <c r="I306" s="12"/>
      <c r="J306" s="12"/>
      <c r="K306" s="12"/>
      <c r="L306" s="12"/>
      <c r="M306" s="12"/>
      <c r="N306" s="12"/>
    </row>
    <row r="307">
      <c r="E307" s="12"/>
      <c r="G307" s="12"/>
      <c r="H307" s="12"/>
      <c r="I307" s="12"/>
      <c r="J307" s="12"/>
      <c r="K307" s="12"/>
      <c r="L307" s="12"/>
      <c r="M307" s="12"/>
      <c r="N307" s="12"/>
    </row>
    <row r="308">
      <c r="E308" s="12"/>
      <c r="G308" s="12"/>
      <c r="H308" s="12"/>
      <c r="I308" s="12"/>
      <c r="J308" s="12"/>
      <c r="K308" s="12"/>
      <c r="L308" s="12"/>
      <c r="M308" s="12"/>
      <c r="N308" s="12"/>
    </row>
    <row r="309">
      <c r="E309" s="12"/>
      <c r="G309" s="12"/>
      <c r="H309" s="12"/>
      <c r="I309" s="12"/>
      <c r="J309" s="12"/>
      <c r="K309" s="12"/>
      <c r="L309" s="12"/>
      <c r="M309" s="12"/>
      <c r="N309" s="12"/>
    </row>
    <row r="310">
      <c r="E310" s="12"/>
      <c r="G310" s="12"/>
      <c r="H310" s="12"/>
      <c r="I310" s="12"/>
      <c r="J310" s="12"/>
      <c r="K310" s="12"/>
      <c r="L310" s="12"/>
      <c r="M310" s="12"/>
      <c r="N310" s="12"/>
    </row>
    <row r="311">
      <c r="E311" s="12"/>
      <c r="G311" s="12"/>
      <c r="H311" s="12"/>
      <c r="I311" s="12"/>
      <c r="J311" s="12"/>
      <c r="K311" s="12"/>
      <c r="L311" s="12"/>
      <c r="M311" s="12"/>
      <c r="N311" s="12"/>
    </row>
    <row r="312">
      <c r="E312" s="12"/>
      <c r="G312" s="12"/>
      <c r="H312" s="12"/>
      <c r="I312" s="12"/>
      <c r="J312" s="12"/>
      <c r="K312" s="12"/>
      <c r="L312" s="12"/>
      <c r="M312" s="12"/>
      <c r="N312" s="12"/>
    </row>
    <row r="313">
      <c r="E313" s="12"/>
      <c r="G313" s="12"/>
      <c r="H313" s="12"/>
      <c r="I313" s="12"/>
      <c r="J313" s="12"/>
      <c r="K313" s="12"/>
      <c r="L313" s="12"/>
      <c r="M313" s="12"/>
      <c r="N313" s="12"/>
    </row>
    <row r="314">
      <c r="E314" s="12"/>
      <c r="G314" s="12"/>
      <c r="H314" s="12"/>
      <c r="I314" s="12"/>
      <c r="J314" s="12"/>
      <c r="K314" s="12"/>
      <c r="L314" s="12"/>
      <c r="M314" s="12"/>
      <c r="N314" s="12"/>
    </row>
    <row r="315">
      <c r="E315" s="12"/>
      <c r="G315" s="12"/>
      <c r="H315" s="12"/>
      <c r="I315" s="12"/>
      <c r="J315" s="12"/>
      <c r="K315" s="12"/>
      <c r="L315" s="12"/>
      <c r="M315" s="12"/>
      <c r="N315" s="12"/>
    </row>
    <row r="316">
      <c r="E316" s="12"/>
      <c r="G316" s="12"/>
      <c r="H316" s="12"/>
      <c r="I316" s="12"/>
      <c r="J316" s="12"/>
      <c r="K316" s="12"/>
      <c r="L316" s="12"/>
      <c r="M316" s="12"/>
      <c r="N316" s="12"/>
    </row>
    <row r="317">
      <c r="E317" s="12"/>
      <c r="G317" s="12"/>
      <c r="H317" s="12"/>
      <c r="I317" s="12"/>
      <c r="J317" s="12"/>
      <c r="K317" s="12"/>
      <c r="L317" s="12"/>
      <c r="M317" s="12"/>
      <c r="N317" s="12"/>
    </row>
    <row r="318">
      <c r="E318" s="12"/>
      <c r="G318" s="12"/>
      <c r="H318" s="12"/>
      <c r="I318" s="12"/>
      <c r="J318" s="12"/>
      <c r="K318" s="12"/>
      <c r="L318" s="12"/>
      <c r="M318" s="12"/>
      <c r="N318" s="12"/>
    </row>
    <row r="319">
      <c r="E319" s="12"/>
      <c r="G319" s="12"/>
      <c r="H319" s="12"/>
      <c r="I319" s="12"/>
      <c r="J319" s="12"/>
      <c r="K319" s="12"/>
      <c r="L319" s="12"/>
      <c r="M319" s="12"/>
      <c r="N319" s="12"/>
    </row>
    <row r="320">
      <c r="E320" s="12"/>
      <c r="G320" s="12"/>
      <c r="H320" s="12"/>
      <c r="I320" s="12"/>
      <c r="J320" s="12"/>
      <c r="K320" s="12"/>
      <c r="L320" s="12"/>
      <c r="M320" s="12"/>
      <c r="N320" s="12"/>
    </row>
    <row r="321">
      <c r="E321" s="12"/>
      <c r="G321" s="12"/>
      <c r="H321" s="12"/>
      <c r="I321" s="12"/>
      <c r="J321" s="12"/>
      <c r="K321" s="12"/>
      <c r="L321" s="12"/>
      <c r="M321" s="12"/>
      <c r="N321" s="12"/>
    </row>
    <row r="322">
      <c r="E322" s="12"/>
      <c r="G322" s="12"/>
      <c r="H322" s="12"/>
      <c r="I322" s="12"/>
      <c r="J322" s="12"/>
      <c r="K322" s="12"/>
      <c r="L322" s="12"/>
      <c r="M322" s="12"/>
      <c r="N322" s="12"/>
    </row>
    <row r="323">
      <c r="E323" s="12"/>
      <c r="G323" s="12"/>
      <c r="H323" s="12"/>
      <c r="I323" s="12"/>
      <c r="J323" s="12"/>
      <c r="K323" s="12"/>
      <c r="L323" s="12"/>
      <c r="M323" s="12"/>
      <c r="N323" s="12"/>
    </row>
    <row r="324">
      <c r="E324" s="12"/>
      <c r="G324" s="12"/>
      <c r="H324" s="12"/>
      <c r="I324" s="12"/>
      <c r="J324" s="12"/>
      <c r="K324" s="12"/>
      <c r="L324" s="12"/>
      <c r="M324" s="12"/>
      <c r="N324" s="12"/>
    </row>
    <row r="325">
      <c r="E325" s="12"/>
      <c r="G325" s="12"/>
      <c r="H325" s="12"/>
      <c r="I325" s="12"/>
      <c r="J325" s="12"/>
      <c r="K325" s="12"/>
      <c r="L325" s="12"/>
      <c r="M325" s="12"/>
      <c r="N325" s="12"/>
    </row>
    <row r="326">
      <c r="E326" s="12"/>
      <c r="G326" s="12"/>
      <c r="H326" s="12"/>
      <c r="I326" s="12"/>
      <c r="J326" s="12"/>
      <c r="K326" s="12"/>
      <c r="L326" s="12"/>
      <c r="M326" s="12"/>
      <c r="N326" s="12"/>
    </row>
    <row r="327">
      <c r="E327" s="12"/>
      <c r="G327" s="12"/>
      <c r="H327" s="12"/>
      <c r="I327" s="12"/>
      <c r="J327" s="12"/>
      <c r="K327" s="12"/>
      <c r="L327" s="12"/>
      <c r="M327" s="12"/>
      <c r="N327" s="12"/>
    </row>
    <row r="328">
      <c r="E328" s="12"/>
      <c r="G328" s="12"/>
      <c r="H328" s="12"/>
      <c r="I328" s="12"/>
      <c r="J328" s="12"/>
      <c r="K328" s="12"/>
      <c r="L328" s="12"/>
      <c r="M328" s="12"/>
      <c r="N328" s="12"/>
    </row>
    <row r="329">
      <c r="E329" s="12"/>
      <c r="G329" s="12"/>
      <c r="H329" s="12"/>
      <c r="I329" s="12"/>
      <c r="J329" s="12"/>
      <c r="K329" s="12"/>
      <c r="L329" s="12"/>
      <c r="M329" s="12"/>
      <c r="N329" s="12"/>
    </row>
    <row r="330">
      <c r="E330" s="12"/>
      <c r="G330" s="12"/>
      <c r="H330" s="12"/>
      <c r="I330" s="12"/>
      <c r="J330" s="12"/>
      <c r="K330" s="12"/>
      <c r="L330" s="12"/>
      <c r="M330" s="12"/>
      <c r="N330" s="12"/>
    </row>
    <row r="331">
      <c r="E331" s="12"/>
      <c r="G331" s="12"/>
      <c r="H331" s="12"/>
      <c r="I331" s="12"/>
      <c r="J331" s="12"/>
      <c r="K331" s="12"/>
      <c r="L331" s="12"/>
      <c r="M331" s="12"/>
      <c r="N331" s="12"/>
    </row>
    <row r="332">
      <c r="E332" s="12"/>
      <c r="G332" s="12"/>
      <c r="H332" s="12"/>
      <c r="I332" s="12"/>
      <c r="J332" s="12"/>
      <c r="K332" s="12"/>
      <c r="L332" s="12"/>
      <c r="M332" s="12"/>
      <c r="N332" s="12"/>
    </row>
    <row r="333">
      <c r="E333" s="12"/>
      <c r="G333" s="12"/>
      <c r="H333" s="12"/>
      <c r="I333" s="12"/>
      <c r="J333" s="12"/>
      <c r="K333" s="12"/>
      <c r="L333" s="12"/>
      <c r="M333" s="12"/>
      <c r="N333" s="12"/>
    </row>
    <row r="334">
      <c r="E334" s="12"/>
      <c r="G334" s="12"/>
      <c r="H334" s="12"/>
      <c r="I334" s="12"/>
      <c r="J334" s="12"/>
      <c r="K334" s="12"/>
      <c r="L334" s="12"/>
      <c r="M334" s="12"/>
      <c r="N334" s="12"/>
    </row>
    <row r="335">
      <c r="E335" s="12"/>
      <c r="G335" s="12"/>
      <c r="H335" s="12"/>
      <c r="I335" s="12"/>
      <c r="J335" s="12"/>
      <c r="K335" s="12"/>
      <c r="L335" s="12"/>
      <c r="M335" s="12"/>
      <c r="N335" s="12"/>
    </row>
    <row r="336">
      <c r="E336" s="12"/>
      <c r="G336" s="12"/>
      <c r="H336" s="12"/>
      <c r="I336" s="12"/>
      <c r="J336" s="12"/>
      <c r="K336" s="12"/>
      <c r="L336" s="12"/>
      <c r="M336" s="12"/>
      <c r="N336" s="12"/>
    </row>
    <row r="337">
      <c r="E337" s="12"/>
      <c r="G337" s="12"/>
      <c r="H337" s="12"/>
      <c r="I337" s="12"/>
      <c r="J337" s="12"/>
      <c r="K337" s="12"/>
      <c r="L337" s="12"/>
      <c r="M337" s="12"/>
      <c r="N337" s="12"/>
    </row>
    <row r="338">
      <c r="E338" s="12"/>
      <c r="G338" s="12"/>
      <c r="H338" s="12"/>
      <c r="I338" s="12"/>
      <c r="J338" s="12"/>
      <c r="K338" s="12"/>
      <c r="L338" s="12"/>
      <c r="M338" s="12"/>
      <c r="N338" s="12"/>
    </row>
    <row r="339">
      <c r="E339" s="12"/>
      <c r="G339" s="12"/>
      <c r="H339" s="12"/>
      <c r="I339" s="12"/>
      <c r="J339" s="12"/>
      <c r="K339" s="12"/>
      <c r="L339" s="12"/>
      <c r="M339" s="12"/>
      <c r="N339" s="12"/>
    </row>
    <row r="340">
      <c r="E340" s="12"/>
      <c r="G340" s="12"/>
      <c r="H340" s="12"/>
      <c r="I340" s="12"/>
      <c r="J340" s="12"/>
      <c r="K340" s="12"/>
      <c r="L340" s="12"/>
      <c r="M340" s="12"/>
      <c r="N340" s="12"/>
    </row>
    <row r="341">
      <c r="E341" s="12"/>
      <c r="G341" s="12"/>
      <c r="H341" s="12"/>
      <c r="I341" s="12"/>
      <c r="J341" s="12"/>
      <c r="K341" s="12"/>
      <c r="L341" s="12"/>
      <c r="M341" s="12"/>
      <c r="N341" s="12"/>
    </row>
    <row r="342">
      <c r="E342" s="12"/>
      <c r="G342" s="12"/>
      <c r="H342" s="12"/>
      <c r="I342" s="12"/>
      <c r="J342" s="12"/>
      <c r="K342" s="12"/>
      <c r="L342" s="12"/>
      <c r="M342" s="12"/>
      <c r="N342" s="12"/>
    </row>
    <row r="343">
      <c r="E343" s="12"/>
      <c r="G343" s="12"/>
      <c r="H343" s="12"/>
      <c r="I343" s="12"/>
      <c r="J343" s="12"/>
      <c r="K343" s="12"/>
      <c r="L343" s="12"/>
      <c r="M343" s="12"/>
      <c r="N343" s="12"/>
    </row>
    <row r="344">
      <c r="E344" s="12"/>
      <c r="G344" s="12"/>
      <c r="H344" s="12"/>
      <c r="I344" s="12"/>
      <c r="J344" s="12"/>
      <c r="K344" s="12"/>
      <c r="L344" s="12"/>
      <c r="M344" s="12"/>
      <c r="N344" s="12"/>
    </row>
    <row r="345">
      <c r="E345" s="12"/>
      <c r="G345" s="12"/>
      <c r="H345" s="12"/>
      <c r="I345" s="12"/>
      <c r="J345" s="12"/>
      <c r="K345" s="12"/>
      <c r="L345" s="12"/>
      <c r="M345" s="12"/>
      <c r="N345" s="12"/>
    </row>
    <row r="346">
      <c r="E346" s="12"/>
      <c r="G346" s="12"/>
      <c r="H346" s="12"/>
      <c r="I346" s="12"/>
      <c r="J346" s="12"/>
      <c r="K346" s="12"/>
      <c r="L346" s="12"/>
      <c r="M346" s="12"/>
      <c r="N346" s="12"/>
    </row>
    <row r="347">
      <c r="E347" s="12"/>
      <c r="G347" s="12"/>
      <c r="H347" s="12"/>
      <c r="I347" s="12"/>
      <c r="J347" s="12"/>
      <c r="K347" s="12"/>
      <c r="L347" s="12"/>
      <c r="M347" s="12"/>
      <c r="N347" s="12"/>
    </row>
    <row r="348">
      <c r="E348" s="12"/>
      <c r="G348" s="12"/>
      <c r="H348" s="12"/>
      <c r="I348" s="12"/>
      <c r="J348" s="12"/>
      <c r="K348" s="12"/>
      <c r="L348" s="12"/>
      <c r="M348" s="12"/>
      <c r="N348" s="12"/>
    </row>
    <row r="349">
      <c r="E349" s="12"/>
      <c r="G349" s="12"/>
      <c r="H349" s="12"/>
      <c r="I349" s="12"/>
      <c r="J349" s="12"/>
      <c r="K349" s="12"/>
      <c r="L349" s="12"/>
      <c r="M349" s="12"/>
      <c r="N349" s="12"/>
    </row>
    <row r="350">
      <c r="E350" s="12"/>
      <c r="G350" s="12"/>
      <c r="H350" s="12"/>
      <c r="I350" s="12"/>
      <c r="J350" s="12"/>
      <c r="K350" s="12"/>
      <c r="L350" s="12"/>
      <c r="M350" s="12"/>
      <c r="N350" s="12"/>
    </row>
    <row r="351">
      <c r="E351" s="12"/>
      <c r="G351" s="12"/>
      <c r="H351" s="12"/>
      <c r="I351" s="12"/>
      <c r="J351" s="12"/>
      <c r="K351" s="12"/>
      <c r="L351" s="12"/>
      <c r="M351" s="12"/>
      <c r="N351" s="12"/>
    </row>
    <row r="352">
      <c r="E352" s="12"/>
      <c r="G352" s="12"/>
      <c r="H352" s="12"/>
      <c r="I352" s="12"/>
      <c r="J352" s="12"/>
      <c r="K352" s="12"/>
      <c r="L352" s="12"/>
      <c r="M352" s="12"/>
      <c r="N352" s="12"/>
    </row>
    <row r="353">
      <c r="E353" s="12"/>
      <c r="G353" s="12"/>
      <c r="H353" s="12"/>
      <c r="I353" s="12"/>
      <c r="J353" s="12"/>
      <c r="K353" s="12"/>
      <c r="L353" s="12"/>
      <c r="M353" s="12"/>
      <c r="N353" s="12"/>
    </row>
    <row r="354">
      <c r="E354" s="12"/>
      <c r="G354" s="12"/>
      <c r="H354" s="12"/>
      <c r="I354" s="12"/>
      <c r="J354" s="12"/>
      <c r="K354" s="12"/>
      <c r="L354" s="12"/>
      <c r="M354" s="12"/>
      <c r="N354" s="12"/>
    </row>
    <row r="355">
      <c r="E355" s="12"/>
      <c r="G355" s="12"/>
      <c r="H355" s="12"/>
      <c r="I355" s="12"/>
      <c r="J355" s="12"/>
      <c r="K355" s="12"/>
      <c r="L355" s="12"/>
      <c r="M355" s="12"/>
      <c r="N355" s="12"/>
    </row>
    <row r="356">
      <c r="E356" s="12"/>
      <c r="G356" s="12"/>
      <c r="H356" s="12"/>
      <c r="I356" s="12"/>
      <c r="J356" s="12"/>
      <c r="K356" s="12"/>
      <c r="L356" s="12"/>
      <c r="M356" s="12"/>
      <c r="N356" s="12"/>
    </row>
    <row r="357">
      <c r="E357" s="12"/>
      <c r="G357" s="12"/>
      <c r="H357" s="12"/>
      <c r="I357" s="12"/>
      <c r="J357" s="12"/>
      <c r="K357" s="12"/>
      <c r="L357" s="12"/>
      <c r="M357" s="12"/>
      <c r="N357" s="12"/>
    </row>
    <row r="358">
      <c r="E358" s="12"/>
      <c r="G358" s="12"/>
      <c r="H358" s="12"/>
      <c r="I358" s="12"/>
      <c r="J358" s="12"/>
      <c r="K358" s="12"/>
      <c r="L358" s="12"/>
      <c r="M358" s="12"/>
      <c r="N358" s="12"/>
    </row>
    <row r="359">
      <c r="E359" s="12"/>
      <c r="G359" s="12"/>
      <c r="H359" s="12"/>
      <c r="I359" s="12"/>
      <c r="J359" s="12"/>
      <c r="K359" s="12"/>
      <c r="L359" s="12"/>
      <c r="M359" s="12"/>
      <c r="N359" s="12"/>
    </row>
    <row r="360">
      <c r="E360" s="12"/>
      <c r="G360" s="12"/>
      <c r="H360" s="12"/>
      <c r="I360" s="12"/>
      <c r="J360" s="12"/>
      <c r="K360" s="12"/>
      <c r="L360" s="12"/>
      <c r="M360" s="12"/>
      <c r="N360" s="12"/>
    </row>
    <row r="361">
      <c r="E361" s="12"/>
      <c r="G361" s="12"/>
      <c r="H361" s="12"/>
      <c r="I361" s="12"/>
      <c r="J361" s="12"/>
      <c r="K361" s="12"/>
      <c r="L361" s="12"/>
      <c r="M361" s="12"/>
      <c r="N361" s="12"/>
    </row>
    <row r="362">
      <c r="E362" s="12"/>
      <c r="G362" s="12"/>
      <c r="H362" s="12"/>
      <c r="I362" s="12"/>
      <c r="J362" s="12"/>
      <c r="K362" s="12"/>
      <c r="L362" s="12"/>
      <c r="M362" s="12"/>
      <c r="N362" s="12"/>
    </row>
    <row r="363">
      <c r="E363" s="12"/>
      <c r="G363" s="12"/>
      <c r="H363" s="12"/>
      <c r="I363" s="12"/>
      <c r="J363" s="12"/>
      <c r="K363" s="12"/>
      <c r="L363" s="12"/>
      <c r="M363" s="12"/>
      <c r="N363" s="12"/>
    </row>
    <row r="364">
      <c r="E364" s="12"/>
      <c r="G364" s="12"/>
      <c r="H364" s="12"/>
      <c r="I364" s="12"/>
      <c r="J364" s="12"/>
      <c r="K364" s="12"/>
      <c r="L364" s="12"/>
      <c r="M364" s="12"/>
      <c r="N364" s="12"/>
    </row>
    <row r="365">
      <c r="E365" s="12"/>
      <c r="G365" s="12"/>
      <c r="H365" s="12"/>
      <c r="I365" s="12"/>
      <c r="J365" s="12"/>
      <c r="K365" s="12"/>
      <c r="L365" s="12"/>
      <c r="M365" s="12"/>
      <c r="N365" s="12"/>
    </row>
    <row r="366">
      <c r="E366" s="12"/>
      <c r="G366" s="12"/>
      <c r="H366" s="12"/>
      <c r="I366" s="12"/>
      <c r="J366" s="12"/>
      <c r="K366" s="12"/>
      <c r="L366" s="12"/>
      <c r="M366" s="12"/>
      <c r="N366" s="12"/>
    </row>
    <row r="367">
      <c r="E367" s="12"/>
      <c r="G367" s="12"/>
      <c r="H367" s="12"/>
      <c r="I367" s="12"/>
      <c r="J367" s="12"/>
      <c r="K367" s="12"/>
      <c r="L367" s="12"/>
      <c r="M367" s="12"/>
      <c r="N367" s="12"/>
    </row>
    <row r="368">
      <c r="E368" s="12"/>
      <c r="G368" s="12"/>
      <c r="H368" s="12"/>
      <c r="I368" s="12"/>
      <c r="J368" s="12"/>
      <c r="K368" s="12"/>
      <c r="L368" s="12"/>
      <c r="M368" s="12"/>
      <c r="N368" s="12"/>
    </row>
    <row r="369">
      <c r="E369" s="12"/>
      <c r="G369" s="12"/>
      <c r="H369" s="12"/>
      <c r="I369" s="12"/>
      <c r="J369" s="12"/>
      <c r="K369" s="12"/>
      <c r="L369" s="12"/>
      <c r="M369" s="12"/>
      <c r="N369" s="12"/>
    </row>
    <row r="370">
      <c r="E370" s="12"/>
      <c r="G370" s="12"/>
      <c r="H370" s="12"/>
      <c r="I370" s="12"/>
      <c r="J370" s="12"/>
      <c r="K370" s="12"/>
      <c r="L370" s="12"/>
      <c r="M370" s="12"/>
      <c r="N370" s="12"/>
    </row>
    <row r="371">
      <c r="E371" s="12"/>
      <c r="G371" s="12"/>
      <c r="H371" s="12"/>
      <c r="I371" s="12"/>
      <c r="J371" s="12"/>
      <c r="K371" s="12"/>
      <c r="L371" s="12"/>
      <c r="M371" s="12"/>
      <c r="N371" s="12"/>
    </row>
    <row r="372">
      <c r="E372" s="12"/>
      <c r="G372" s="12"/>
      <c r="H372" s="12"/>
      <c r="I372" s="12"/>
      <c r="J372" s="12"/>
      <c r="K372" s="12"/>
      <c r="L372" s="12"/>
      <c r="M372" s="12"/>
      <c r="N372" s="12"/>
    </row>
    <row r="373">
      <c r="E373" s="12"/>
      <c r="G373" s="12"/>
      <c r="H373" s="12"/>
      <c r="I373" s="12"/>
      <c r="J373" s="12"/>
      <c r="K373" s="12"/>
      <c r="L373" s="12"/>
      <c r="M373" s="12"/>
      <c r="N373" s="12"/>
    </row>
    <row r="374">
      <c r="E374" s="12"/>
      <c r="G374" s="12"/>
      <c r="H374" s="12"/>
      <c r="I374" s="12"/>
      <c r="J374" s="12"/>
      <c r="K374" s="12"/>
      <c r="L374" s="12"/>
      <c r="M374" s="12"/>
      <c r="N374" s="12"/>
    </row>
    <row r="375">
      <c r="E375" s="12"/>
      <c r="G375" s="12"/>
      <c r="H375" s="12"/>
      <c r="I375" s="12"/>
      <c r="J375" s="12"/>
      <c r="K375" s="12"/>
      <c r="L375" s="12"/>
      <c r="M375" s="12"/>
      <c r="N375" s="12"/>
    </row>
    <row r="376">
      <c r="E376" s="12"/>
      <c r="G376" s="12"/>
      <c r="H376" s="12"/>
      <c r="I376" s="12"/>
      <c r="J376" s="12"/>
      <c r="K376" s="12"/>
      <c r="L376" s="12"/>
      <c r="M376" s="12"/>
      <c r="N376" s="12"/>
    </row>
    <row r="377">
      <c r="E377" s="12"/>
      <c r="G377" s="12"/>
      <c r="H377" s="12"/>
      <c r="I377" s="12"/>
      <c r="J377" s="12"/>
      <c r="K377" s="12"/>
      <c r="L377" s="12"/>
      <c r="M377" s="12"/>
      <c r="N377" s="12"/>
    </row>
    <row r="378">
      <c r="E378" s="12"/>
      <c r="G378" s="12"/>
      <c r="H378" s="12"/>
      <c r="I378" s="12"/>
      <c r="J378" s="12"/>
      <c r="K378" s="12"/>
      <c r="L378" s="12"/>
      <c r="M378" s="12"/>
      <c r="N378" s="12"/>
    </row>
    <row r="379">
      <c r="E379" s="12"/>
      <c r="G379" s="12"/>
      <c r="H379" s="12"/>
      <c r="I379" s="12"/>
      <c r="J379" s="12"/>
      <c r="K379" s="12"/>
      <c r="L379" s="12"/>
      <c r="M379" s="12"/>
      <c r="N379" s="12"/>
    </row>
    <row r="380">
      <c r="E380" s="12"/>
      <c r="G380" s="12"/>
      <c r="H380" s="12"/>
      <c r="I380" s="12"/>
      <c r="J380" s="12"/>
      <c r="K380" s="12"/>
      <c r="L380" s="12"/>
      <c r="M380" s="12"/>
      <c r="N380" s="12"/>
    </row>
    <row r="381">
      <c r="E381" s="12"/>
      <c r="G381" s="12"/>
      <c r="H381" s="12"/>
      <c r="I381" s="12"/>
      <c r="J381" s="12"/>
      <c r="K381" s="12"/>
      <c r="L381" s="12"/>
      <c r="M381" s="12"/>
      <c r="N381" s="12"/>
    </row>
    <row r="382">
      <c r="E382" s="12"/>
      <c r="G382" s="12"/>
      <c r="H382" s="12"/>
      <c r="I382" s="12"/>
      <c r="J382" s="12"/>
      <c r="K382" s="12"/>
      <c r="L382" s="12"/>
      <c r="M382" s="12"/>
      <c r="N382" s="12"/>
    </row>
    <row r="383">
      <c r="E383" s="12"/>
      <c r="G383" s="12"/>
      <c r="H383" s="12"/>
      <c r="I383" s="12"/>
      <c r="J383" s="12"/>
      <c r="K383" s="12"/>
      <c r="L383" s="12"/>
      <c r="M383" s="12"/>
      <c r="N383" s="12"/>
    </row>
    <row r="384">
      <c r="E384" s="12"/>
      <c r="G384" s="12"/>
      <c r="H384" s="12"/>
      <c r="I384" s="12"/>
      <c r="J384" s="12"/>
      <c r="K384" s="12"/>
      <c r="L384" s="12"/>
      <c r="M384" s="12"/>
      <c r="N384" s="12"/>
    </row>
    <row r="385">
      <c r="E385" s="12"/>
      <c r="G385" s="12"/>
      <c r="H385" s="12"/>
      <c r="I385" s="12"/>
      <c r="J385" s="12"/>
      <c r="K385" s="12"/>
      <c r="L385" s="12"/>
      <c r="M385" s="12"/>
      <c r="N385" s="12"/>
    </row>
    <row r="386">
      <c r="E386" s="12"/>
      <c r="G386" s="12"/>
      <c r="H386" s="12"/>
      <c r="I386" s="12"/>
      <c r="J386" s="12"/>
      <c r="K386" s="12"/>
      <c r="L386" s="12"/>
      <c r="M386" s="12"/>
      <c r="N386" s="12"/>
    </row>
    <row r="387">
      <c r="E387" s="12"/>
      <c r="G387" s="12"/>
      <c r="H387" s="12"/>
      <c r="I387" s="12"/>
      <c r="J387" s="12"/>
      <c r="K387" s="12"/>
      <c r="L387" s="12"/>
      <c r="M387" s="12"/>
      <c r="N387" s="12"/>
    </row>
    <row r="388">
      <c r="E388" s="12"/>
      <c r="G388" s="12"/>
      <c r="H388" s="12"/>
      <c r="I388" s="12"/>
      <c r="J388" s="12"/>
      <c r="K388" s="12"/>
      <c r="L388" s="12"/>
      <c r="M388" s="12"/>
      <c r="N388" s="12"/>
    </row>
    <row r="389">
      <c r="E389" s="12"/>
      <c r="G389" s="12"/>
      <c r="H389" s="12"/>
      <c r="I389" s="12"/>
      <c r="J389" s="12"/>
      <c r="K389" s="12"/>
      <c r="L389" s="12"/>
      <c r="M389" s="12"/>
      <c r="N389" s="12"/>
    </row>
    <row r="390">
      <c r="E390" s="12"/>
      <c r="G390" s="12"/>
      <c r="H390" s="12"/>
      <c r="I390" s="12"/>
      <c r="J390" s="12"/>
      <c r="K390" s="12"/>
      <c r="L390" s="12"/>
      <c r="M390" s="12"/>
      <c r="N390" s="12"/>
    </row>
    <row r="391">
      <c r="E391" s="12"/>
      <c r="G391" s="12"/>
      <c r="H391" s="12"/>
      <c r="I391" s="12"/>
      <c r="J391" s="12"/>
      <c r="K391" s="12"/>
      <c r="L391" s="12"/>
      <c r="M391" s="12"/>
      <c r="N391" s="12"/>
    </row>
    <row r="392">
      <c r="E392" s="12"/>
      <c r="G392" s="12"/>
      <c r="H392" s="12"/>
      <c r="I392" s="12"/>
      <c r="J392" s="12"/>
      <c r="K392" s="12"/>
      <c r="L392" s="12"/>
      <c r="M392" s="12"/>
      <c r="N392" s="12"/>
    </row>
    <row r="393">
      <c r="E393" s="12"/>
      <c r="G393" s="12"/>
      <c r="H393" s="12"/>
      <c r="I393" s="12"/>
      <c r="J393" s="12"/>
      <c r="K393" s="12"/>
      <c r="L393" s="12"/>
      <c r="M393" s="12"/>
      <c r="N393" s="12"/>
    </row>
    <row r="394">
      <c r="E394" s="12"/>
      <c r="G394" s="12"/>
      <c r="H394" s="12"/>
      <c r="I394" s="12"/>
      <c r="J394" s="12"/>
      <c r="K394" s="12"/>
      <c r="L394" s="12"/>
      <c r="M394" s="12"/>
      <c r="N394" s="12"/>
    </row>
    <row r="395">
      <c r="E395" s="12"/>
      <c r="G395" s="12"/>
      <c r="H395" s="12"/>
      <c r="I395" s="12"/>
      <c r="J395" s="12"/>
      <c r="K395" s="12"/>
      <c r="L395" s="12"/>
      <c r="M395" s="12"/>
      <c r="N395" s="12"/>
    </row>
    <row r="396">
      <c r="E396" s="12"/>
      <c r="G396" s="12"/>
      <c r="H396" s="12"/>
      <c r="I396" s="12"/>
      <c r="J396" s="12"/>
      <c r="K396" s="12"/>
      <c r="L396" s="12"/>
      <c r="M396" s="12"/>
      <c r="N396" s="12"/>
    </row>
    <row r="397">
      <c r="E397" s="12"/>
      <c r="G397" s="12"/>
      <c r="H397" s="12"/>
      <c r="I397" s="12"/>
      <c r="J397" s="12"/>
      <c r="K397" s="12"/>
      <c r="L397" s="12"/>
      <c r="M397" s="12"/>
      <c r="N397" s="12"/>
    </row>
    <row r="398">
      <c r="E398" s="12"/>
      <c r="G398" s="12"/>
      <c r="H398" s="12"/>
      <c r="I398" s="12"/>
      <c r="J398" s="12"/>
      <c r="K398" s="12"/>
      <c r="L398" s="12"/>
      <c r="M398" s="12"/>
      <c r="N398" s="12"/>
    </row>
    <row r="399">
      <c r="E399" s="12"/>
      <c r="G399" s="12"/>
      <c r="H399" s="12"/>
      <c r="I399" s="12"/>
      <c r="J399" s="12"/>
      <c r="K399" s="12"/>
      <c r="L399" s="12"/>
      <c r="M399" s="12"/>
      <c r="N399" s="12"/>
    </row>
    <row r="400">
      <c r="E400" s="12"/>
      <c r="G400" s="12"/>
      <c r="H400" s="12"/>
      <c r="I400" s="12"/>
      <c r="J400" s="12"/>
      <c r="K400" s="12"/>
      <c r="L400" s="12"/>
      <c r="M400" s="12"/>
      <c r="N400" s="12"/>
    </row>
    <row r="401">
      <c r="E401" s="12"/>
      <c r="G401" s="12"/>
      <c r="H401" s="12"/>
      <c r="I401" s="12"/>
      <c r="J401" s="12"/>
      <c r="K401" s="12"/>
      <c r="L401" s="12"/>
      <c r="M401" s="12"/>
      <c r="N401" s="12"/>
    </row>
    <row r="402">
      <c r="E402" s="12"/>
      <c r="G402" s="12"/>
      <c r="H402" s="12"/>
      <c r="I402" s="12"/>
      <c r="J402" s="12"/>
      <c r="K402" s="12"/>
      <c r="L402" s="12"/>
      <c r="M402" s="12"/>
      <c r="N402" s="12"/>
    </row>
    <row r="403">
      <c r="E403" s="12"/>
      <c r="G403" s="12"/>
      <c r="H403" s="12"/>
      <c r="I403" s="12"/>
      <c r="J403" s="12"/>
      <c r="K403" s="12"/>
      <c r="L403" s="12"/>
      <c r="M403" s="12"/>
      <c r="N403" s="12"/>
    </row>
    <row r="404">
      <c r="E404" s="12"/>
      <c r="G404" s="12"/>
      <c r="H404" s="12"/>
      <c r="I404" s="12"/>
      <c r="J404" s="12"/>
      <c r="K404" s="12"/>
      <c r="L404" s="12"/>
      <c r="M404" s="12"/>
      <c r="N404" s="12"/>
    </row>
    <row r="405">
      <c r="E405" s="12"/>
      <c r="G405" s="12"/>
      <c r="H405" s="12"/>
      <c r="I405" s="12"/>
      <c r="J405" s="12"/>
      <c r="K405" s="12"/>
      <c r="L405" s="12"/>
      <c r="M405" s="12"/>
      <c r="N405" s="12"/>
    </row>
    <row r="406">
      <c r="E406" s="12"/>
      <c r="G406" s="12"/>
      <c r="H406" s="12"/>
      <c r="I406" s="12"/>
      <c r="J406" s="12"/>
      <c r="K406" s="12"/>
      <c r="L406" s="12"/>
      <c r="M406" s="12"/>
      <c r="N406" s="12"/>
    </row>
    <row r="407">
      <c r="E407" s="12"/>
      <c r="G407" s="12"/>
      <c r="H407" s="12"/>
      <c r="I407" s="12"/>
      <c r="J407" s="12"/>
      <c r="K407" s="12"/>
      <c r="L407" s="12"/>
      <c r="M407" s="12"/>
      <c r="N407" s="12"/>
    </row>
    <row r="408">
      <c r="E408" s="12"/>
      <c r="G408" s="12"/>
      <c r="H408" s="12"/>
      <c r="I408" s="12"/>
      <c r="J408" s="12"/>
      <c r="K408" s="12"/>
      <c r="L408" s="12"/>
      <c r="M408" s="12"/>
      <c r="N408" s="12"/>
    </row>
    <row r="409">
      <c r="E409" s="12"/>
      <c r="G409" s="12"/>
      <c r="H409" s="12"/>
      <c r="I409" s="12"/>
      <c r="J409" s="12"/>
      <c r="K409" s="12"/>
      <c r="L409" s="12"/>
      <c r="M409" s="12"/>
      <c r="N409" s="12"/>
    </row>
    <row r="410">
      <c r="E410" s="12"/>
      <c r="G410" s="12"/>
      <c r="H410" s="12"/>
      <c r="I410" s="12"/>
      <c r="J410" s="12"/>
      <c r="K410" s="12"/>
      <c r="L410" s="12"/>
      <c r="M410" s="12"/>
      <c r="N410" s="12"/>
    </row>
    <row r="411">
      <c r="E411" s="12"/>
      <c r="G411" s="12"/>
      <c r="H411" s="12"/>
      <c r="I411" s="12"/>
      <c r="J411" s="12"/>
      <c r="K411" s="12"/>
      <c r="L411" s="12"/>
      <c r="M411" s="12"/>
      <c r="N411" s="12"/>
    </row>
    <row r="412">
      <c r="E412" s="12"/>
      <c r="G412" s="12"/>
      <c r="H412" s="12"/>
      <c r="I412" s="12"/>
      <c r="J412" s="12"/>
      <c r="K412" s="12"/>
      <c r="L412" s="12"/>
      <c r="M412" s="12"/>
      <c r="N412" s="12"/>
    </row>
    <row r="413">
      <c r="E413" s="12"/>
      <c r="G413" s="12"/>
      <c r="H413" s="12"/>
      <c r="I413" s="12"/>
      <c r="J413" s="12"/>
      <c r="K413" s="12"/>
      <c r="L413" s="12"/>
      <c r="M413" s="12"/>
      <c r="N413" s="12"/>
    </row>
    <row r="414">
      <c r="E414" s="12"/>
      <c r="G414" s="12"/>
      <c r="H414" s="12"/>
      <c r="I414" s="12"/>
      <c r="J414" s="12"/>
      <c r="K414" s="12"/>
      <c r="L414" s="12"/>
      <c r="M414" s="12"/>
      <c r="N414" s="12"/>
    </row>
    <row r="415">
      <c r="E415" s="12"/>
      <c r="G415" s="12"/>
      <c r="H415" s="12"/>
      <c r="I415" s="12"/>
      <c r="J415" s="12"/>
      <c r="K415" s="12"/>
      <c r="L415" s="12"/>
      <c r="M415" s="12"/>
      <c r="N415" s="12"/>
    </row>
    <row r="416">
      <c r="E416" s="12"/>
      <c r="G416" s="12"/>
      <c r="H416" s="12"/>
      <c r="I416" s="12"/>
      <c r="J416" s="12"/>
      <c r="K416" s="12"/>
      <c r="L416" s="12"/>
      <c r="M416" s="12"/>
      <c r="N416" s="12"/>
    </row>
    <row r="417">
      <c r="E417" s="12"/>
      <c r="G417" s="12"/>
      <c r="H417" s="12"/>
      <c r="I417" s="12"/>
      <c r="J417" s="12"/>
      <c r="K417" s="12"/>
      <c r="L417" s="12"/>
      <c r="M417" s="12"/>
      <c r="N417" s="12"/>
    </row>
    <row r="418">
      <c r="E418" s="12"/>
      <c r="G418" s="12"/>
      <c r="H418" s="12"/>
      <c r="I418" s="12"/>
      <c r="J418" s="12"/>
      <c r="K418" s="12"/>
      <c r="L418" s="12"/>
      <c r="M418" s="12"/>
      <c r="N418" s="12"/>
    </row>
    <row r="419">
      <c r="E419" s="12"/>
      <c r="G419" s="12"/>
      <c r="H419" s="12"/>
      <c r="I419" s="12"/>
      <c r="J419" s="12"/>
      <c r="K419" s="12"/>
      <c r="L419" s="12"/>
      <c r="M419" s="12"/>
      <c r="N419" s="12"/>
    </row>
    <row r="420">
      <c r="E420" s="12"/>
      <c r="G420" s="12"/>
      <c r="H420" s="12"/>
      <c r="I420" s="12"/>
      <c r="J420" s="12"/>
      <c r="K420" s="12"/>
      <c r="L420" s="12"/>
      <c r="M420" s="12"/>
      <c r="N420" s="12"/>
    </row>
    <row r="421">
      <c r="E421" s="12"/>
      <c r="G421" s="12"/>
      <c r="H421" s="12"/>
      <c r="I421" s="12"/>
      <c r="J421" s="12"/>
      <c r="K421" s="12"/>
      <c r="L421" s="12"/>
      <c r="M421" s="12"/>
      <c r="N421" s="12"/>
    </row>
    <row r="422">
      <c r="E422" s="12"/>
      <c r="G422" s="12"/>
      <c r="H422" s="12"/>
      <c r="I422" s="12"/>
      <c r="J422" s="12"/>
      <c r="K422" s="12"/>
      <c r="L422" s="12"/>
      <c r="M422" s="12"/>
      <c r="N422" s="12"/>
    </row>
    <row r="423">
      <c r="E423" s="12"/>
      <c r="G423" s="12"/>
      <c r="H423" s="12"/>
      <c r="I423" s="12"/>
      <c r="J423" s="12"/>
      <c r="K423" s="12"/>
      <c r="L423" s="12"/>
      <c r="M423" s="12"/>
      <c r="N423" s="12"/>
    </row>
    <row r="424">
      <c r="E424" s="12"/>
      <c r="G424" s="12"/>
      <c r="H424" s="12"/>
      <c r="I424" s="12"/>
      <c r="J424" s="12"/>
      <c r="K424" s="12"/>
      <c r="L424" s="12"/>
      <c r="M424" s="12"/>
      <c r="N424" s="12"/>
    </row>
    <row r="425">
      <c r="E425" s="12"/>
      <c r="G425" s="12"/>
      <c r="H425" s="12"/>
      <c r="I425" s="12"/>
      <c r="J425" s="12"/>
      <c r="K425" s="12"/>
      <c r="L425" s="12"/>
      <c r="M425" s="12"/>
      <c r="N425" s="12"/>
    </row>
    <row r="426">
      <c r="E426" s="12"/>
      <c r="G426" s="12"/>
      <c r="H426" s="12"/>
      <c r="I426" s="12"/>
      <c r="J426" s="12"/>
      <c r="K426" s="12"/>
      <c r="L426" s="12"/>
      <c r="M426" s="12"/>
      <c r="N426" s="12"/>
    </row>
    <row r="427">
      <c r="E427" s="12"/>
      <c r="G427" s="12"/>
      <c r="H427" s="12"/>
      <c r="I427" s="12"/>
      <c r="J427" s="12"/>
      <c r="K427" s="12"/>
      <c r="L427" s="12"/>
      <c r="M427" s="12"/>
      <c r="N427" s="12"/>
    </row>
    <row r="428">
      <c r="E428" s="12"/>
      <c r="G428" s="12"/>
      <c r="H428" s="12"/>
      <c r="I428" s="12"/>
      <c r="J428" s="12"/>
      <c r="K428" s="12"/>
      <c r="L428" s="12"/>
      <c r="M428" s="12"/>
      <c r="N428" s="12"/>
    </row>
    <row r="429">
      <c r="E429" s="12"/>
      <c r="G429" s="12"/>
      <c r="H429" s="12"/>
      <c r="I429" s="12"/>
      <c r="J429" s="12"/>
      <c r="K429" s="12"/>
      <c r="L429" s="12"/>
      <c r="M429" s="12"/>
      <c r="N429" s="12"/>
    </row>
    <row r="430">
      <c r="E430" s="12"/>
      <c r="G430" s="12"/>
      <c r="H430" s="12"/>
      <c r="I430" s="12"/>
      <c r="J430" s="12"/>
      <c r="K430" s="12"/>
      <c r="L430" s="12"/>
      <c r="M430" s="12"/>
      <c r="N430" s="12"/>
    </row>
    <row r="431">
      <c r="E431" s="12"/>
      <c r="G431" s="12"/>
      <c r="H431" s="12"/>
      <c r="I431" s="12"/>
      <c r="J431" s="12"/>
      <c r="K431" s="12"/>
      <c r="L431" s="12"/>
      <c r="M431" s="12"/>
      <c r="N431" s="12"/>
    </row>
    <row r="432">
      <c r="E432" s="12"/>
      <c r="G432" s="12"/>
      <c r="H432" s="12"/>
      <c r="I432" s="12"/>
      <c r="J432" s="12"/>
      <c r="K432" s="12"/>
      <c r="L432" s="12"/>
      <c r="M432" s="12"/>
      <c r="N432" s="12"/>
    </row>
    <row r="433">
      <c r="E433" s="12"/>
      <c r="G433" s="12"/>
      <c r="H433" s="12"/>
      <c r="I433" s="12"/>
      <c r="J433" s="12"/>
      <c r="K433" s="12"/>
      <c r="L433" s="12"/>
      <c r="M433" s="12"/>
      <c r="N433" s="12"/>
    </row>
    <row r="434">
      <c r="E434" s="12"/>
      <c r="G434" s="12"/>
      <c r="H434" s="12"/>
      <c r="I434" s="12"/>
      <c r="J434" s="12"/>
      <c r="K434" s="12"/>
      <c r="L434" s="12"/>
      <c r="M434" s="12"/>
      <c r="N434" s="12"/>
    </row>
    <row r="435">
      <c r="E435" s="12"/>
      <c r="G435" s="12"/>
      <c r="H435" s="12"/>
      <c r="I435" s="12"/>
      <c r="J435" s="12"/>
      <c r="K435" s="12"/>
      <c r="L435" s="12"/>
      <c r="M435" s="12"/>
      <c r="N435" s="12"/>
    </row>
    <row r="436">
      <c r="E436" s="12"/>
      <c r="G436" s="12"/>
      <c r="H436" s="12"/>
      <c r="I436" s="12"/>
      <c r="J436" s="12"/>
      <c r="K436" s="12"/>
      <c r="L436" s="12"/>
      <c r="M436" s="12"/>
      <c r="N436" s="12"/>
    </row>
    <row r="437">
      <c r="E437" s="12"/>
      <c r="G437" s="12"/>
      <c r="H437" s="12"/>
      <c r="I437" s="12"/>
      <c r="J437" s="12"/>
      <c r="K437" s="12"/>
      <c r="L437" s="12"/>
      <c r="M437" s="12"/>
      <c r="N437" s="12"/>
    </row>
    <row r="438">
      <c r="E438" s="12"/>
      <c r="G438" s="12"/>
      <c r="H438" s="12"/>
      <c r="I438" s="12"/>
      <c r="J438" s="12"/>
      <c r="K438" s="12"/>
      <c r="L438" s="12"/>
      <c r="M438" s="12"/>
      <c r="N438" s="12"/>
    </row>
    <row r="439">
      <c r="E439" s="12"/>
      <c r="G439" s="12"/>
      <c r="H439" s="12"/>
      <c r="I439" s="12"/>
      <c r="J439" s="12"/>
      <c r="K439" s="12"/>
      <c r="L439" s="12"/>
      <c r="M439" s="12"/>
      <c r="N439" s="12"/>
    </row>
    <row r="440">
      <c r="E440" s="12"/>
      <c r="G440" s="12"/>
      <c r="H440" s="12"/>
      <c r="I440" s="12"/>
      <c r="J440" s="12"/>
      <c r="K440" s="12"/>
      <c r="L440" s="12"/>
      <c r="M440" s="12"/>
      <c r="N440" s="12"/>
    </row>
    <row r="441">
      <c r="E441" s="12"/>
      <c r="G441" s="12"/>
      <c r="H441" s="12"/>
      <c r="I441" s="12"/>
      <c r="J441" s="12"/>
      <c r="K441" s="12"/>
      <c r="L441" s="12"/>
      <c r="M441" s="12"/>
      <c r="N441" s="12"/>
    </row>
    <row r="442">
      <c r="E442" s="12"/>
      <c r="G442" s="12"/>
      <c r="H442" s="12"/>
      <c r="I442" s="12"/>
      <c r="J442" s="12"/>
      <c r="K442" s="12"/>
      <c r="L442" s="12"/>
      <c r="M442" s="12"/>
      <c r="N442" s="12"/>
    </row>
    <row r="443">
      <c r="E443" s="12"/>
      <c r="G443" s="12"/>
      <c r="H443" s="12"/>
      <c r="I443" s="12"/>
      <c r="J443" s="12"/>
      <c r="K443" s="12"/>
      <c r="L443" s="12"/>
      <c r="M443" s="12"/>
      <c r="N443" s="12"/>
    </row>
    <row r="444">
      <c r="E444" s="12"/>
      <c r="G444" s="12"/>
      <c r="H444" s="12"/>
      <c r="I444" s="12"/>
      <c r="J444" s="12"/>
      <c r="K444" s="12"/>
      <c r="L444" s="12"/>
      <c r="M444" s="12"/>
      <c r="N444" s="12"/>
    </row>
    <row r="445">
      <c r="E445" s="12"/>
      <c r="G445" s="12"/>
      <c r="H445" s="12"/>
      <c r="I445" s="12"/>
      <c r="J445" s="12"/>
      <c r="K445" s="12"/>
      <c r="L445" s="12"/>
      <c r="M445" s="12"/>
      <c r="N445" s="12"/>
    </row>
    <row r="446">
      <c r="E446" s="12"/>
      <c r="G446" s="12"/>
      <c r="H446" s="12"/>
      <c r="I446" s="12"/>
      <c r="J446" s="12"/>
      <c r="K446" s="12"/>
      <c r="L446" s="12"/>
      <c r="M446" s="12"/>
      <c r="N446" s="12"/>
    </row>
    <row r="447">
      <c r="E447" s="12"/>
      <c r="G447" s="12"/>
      <c r="H447" s="12"/>
      <c r="I447" s="12"/>
      <c r="J447" s="12"/>
      <c r="K447" s="12"/>
      <c r="L447" s="12"/>
      <c r="M447" s="12"/>
      <c r="N447" s="12"/>
    </row>
    <row r="448">
      <c r="E448" s="12"/>
      <c r="G448" s="12"/>
      <c r="H448" s="12"/>
      <c r="I448" s="12"/>
      <c r="J448" s="12"/>
      <c r="K448" s="12"/>
      <c r="L448" s="12"/>
      <c r="M448" s="12"/>
      <c r="N448" s="12"/>
    </row>
    <row r="449">
      <c r="E449" s="12"/>
      <c r="G449" s="12"/>
      <c r="H449" s="12"/>
      <c r="I449" s="12"/>
      <c r="J449" s="12"/>
      <c r="K449" s="12"/>
      <c r="L449" s="12"/>
      <c r="M449" s="12"/>
      <c r="N449" s="12"/>
    </row>
    <row r="450">
      <c r="E450" s="12"/>
      <c r="G450" s="12"/>
      <c r="H450" s="12"/>
      <c r="I450" s="12"/>
      <c r="J450" s="12"/>
      <c r="K450" s="12"/>
      <c r="L450" s="12"/>
      <c r="M450" s="12"/>
      <c r="N450" s="12"/>
    </row>
    <row r="451">
      <c r="E451" s="12"/>
      <c r="G451" s="12"/>
      <c r="H451" s="12"/>
      <c r="I451" s="12"/>
      <c r="J451" s="12"/>
      <c r="K451" s="12"/>
      <c r="L451" s="12"/>
      <c r="M451" s="12"/>
      <c r="N451" s="12"/>
    </row>
    <row r="452">
      <c r="E452" s="12"/>
      <c r="G452" s="12"/>
      <c r="H452" s="12"/>
      <c r="I452" s="12"/>
      <c r="J452" s="12"/>
      <c r="K452" s="12"/>
      <c r="L452" s="12"/>
      <c r="M452" s="12"/>
      <c r="N452" s="12"/>
    </row>
    <row r="453">
      <c r="E453" s="12"/>
      <c r="G453" s="12"/>
      <c r="H453" s="12"/>
      <c r="I453" s="12"/>
      <c r="J453" s="12"/>
      <c r="K453" s="12"/>
      <c r="L453" s="12"/>
      <c r="M453" s="12"/>
      <c r="N453" s="12"/>
    </row>
    <row r="454">
      <c r="E454" s="12"/>
      <c r="G454" s="12"/>
      <c r="H454" s="12"/>
      <c r="I454" s="12"/>
      <c r="J454" s="12"/>
      <c r="K454" s="12"/>
      <c r="L454" s="12"/>
      <c r="M454" s="12"/>
      <c r="N454" s="12"/>
    </row>
    <row r="455">
      <c r="E455" s="12"/>
      <c r="G455" s="12"/>
      <c r="H455" s="12"/>
      <c r="I455" s="12"/>
      <c r="J455" s="12"/>
      <c r="K455" s="12"/>
      <c r="L455" s="12"/>
      <c r="M455" s="12"/>
      <c r="N455" s="12"/>
    </row>
    <row r="456">
      <c r="E456" s="12"/>
      <c r="G456" s="12"/>
      <c r="H456" s="12"/>
      <c r="I456" s="12"/>
      <c r="J456" s="12"/>
      <c r="K456" s="12"/>
      <c r="L456" s="12"/>
      <c r="M456" s="12"/>
      <c r="N456" s="12"/>
    </row>
    <row r="457">
      <c r="E457" s="12"/>
      <c r="G457" s="12"/>
      <c r="H457" s="12"/>
      <c r="I457" s="12"/>
      <c r="J457" s="12"/>
      <c r="K457" s="12"/>
      <c r="L457" s="12"/>
      <c r="M457" s="12"/>
      <c r="N457" s="12"/>
    </row>
    <row r="458">
      <c r="E458" s="12"/>
      <c r="G458" s="12"/>
      <c r="H458" s="12"/>
      <c r="I458" s="12"/>
      <c r="J458" s="12"/>
      <c r="K458" s="12"/>
      <c r="L458" s="12"/>
      <c r="M458" s="12"/>
      <c r="N458" s="12"/>
    </row>
    <row r="459">
      <c r="E459" s="12"/>
      <c r="G459" s="12"/>
      <c r="H459" s="12"/>
      <c r="I459" s="12"/>
      <c r="J459" s="12"/>
      <c r="K459" s="12"/>
      <c r="L459" s="12"/>
      <c r="M459" s="12"/>
      <c r="N459" s="12"/>
    </row>
    <row r="460">
      <c r="E460" s="12"/>
      <c r="G460" s="12"/>
      <c r="H460" s="12"/>
      <c r="I460" s="12"/>
      <c r="J460" s="12"/>
      <c r="K460" s="12"/>
      <c r="L460" s="12"/>
      <c r="M460" s="12"/>
      <c r="N460" s="12"/>
    </row>
    <row r="461">
      <c r="E461" s="12"/>
      <c r="G461" s="12"/>
      <c r="H461" s="12"/>
      <c r="I461" s="12"/>
      <c r="J461" s="12"/>
      <c r="K461" s="12"/>
      <c r="L461" s="12"/>
      <c r="M461" s="12"/>
      <c r="N461" s="12"/>
    </row>
    <row r="462">
      <c r="E462" s="12"/>
      <c r="G462" s="12"/>
      <c r="H462" s="12"/>
      <c r="I462" s="12"/>
      <c r="J462" s="12"/>
      <c r="K462" s="12"/>
      <c r="L462" s="12"/>
      <c r="M462" s="12"/>
      <c r="N462" s="12"/>
    </row>
    <row r="463">
      <c r="E463" s="12"/>
      <c r="G463" s="12"/>
      <c r="H463" s="12"/>
      <c r="I463" s="12"/>
      <c r="J463" s="12"/>
      <c r="K463" s="12"/>
      <c r="L463" s="12"/>
      <c r="M463" s="12"/>
      <c r="N463" s="12"/>
    </row>
    <row r="464">
      <c r="E464" s="12"/>
      <c r="G464" s="12"/>
      <c r="H464" s="12"/>
      <c r="I464" s="12"/>
      <c r="J464" s="12"/>
      <c r="K464" s="12"/>
      <c r="L464" s="12"/>
      <c r="M464" s="12"/>
      <c r="N464" s="12"/>
    </row>
    <row r="465">
      <c r="E465" s="12"/>
      <c r="G465" s="12"/>
      <c r="H465" s="12"/>
      <c r="I465" s="12"/>
      <c r="J465" s="12"/>
      <c r="K465" s="12"/>
      <c r="L465" s="12"/>
      <c r="M465" s="12"/>
      <c r="N465" s="12"/>
    </row>
    <row r="466">
      <c r="E466" s="12"/>
      <c r="G466" s="12"/>
      <c r="H466" s="12"/>
      <c r="I466" s="12"/>
      <c r="J466" s="12"/>
      <c r="K466" s="12"/>
      <c r="L466" s="12"/>
      <c r="M466" s="12"/>
      <c r="N466" s="12"/>
    </row>
    <row r="467">
      <c r="E467" s="12"/>
      <c r="G467" s="12"/>
      <c r="H467" s="12"/>
      <c r="I467" s="12"/>
      <c r="J467" s="12"/>
      <c r="K467" s="12"/>
      <c r="L467" s="12"/>
      <c r="M467" s="12"/>
      <c r="N467" s="12"/>
    </row>
    <row r="468">
      <c r="E468" s="12"/>
      <c r="G468" s="12"/>
      <c r="H468" s="12"/>
      <c r="I468" s="12"/>
      <c r="J468" s="12"/>
      <c r="K468" s="12"/>
      <c r="L468" s="12"/>
      <c r="M468" s="12"/>
      <c r="N468" s="12"/>
    </row>
    <row r="469">
      <c r="E469" s="12"/>
      <c r="G469" s="12"/>
      <c r="H469" s="12"/>
      <c r="I469" s="12"/>
      <c r="J469" s="12"/>
      <c r="K469" s="12"/>
      <c r="L469" s="12"/>
      <c r="M469" s="12"/>
      <c r="N469" s="12"/>
    </row>
    <row r="470">
      <c r="E470" s="12"/>
      <c r="G470" s="12"/>
      <c r="H470" s="12"/>
      <c r="I470" s="12"/>
      <c r="J470" s="12"/>
      <c r="K470" s="12"/>
      <c r="L470" s="12"/>
      <c r="M470" s="12"/>
      <c r="N470" s="12"/>
    </row>
    <row r="471">
      <c r="E471" s="12"/>
      <c r="G471" s="12"/>
      <c r="H471" s="12"/>
      <c r="I471" s="12"/>
      <c r="J471" s="12"/>
      <c r="K471" s="12"/>
      <c r="L471" s="12"/>
      <c r="M471" s="12"/>
      <c r="N471" s="12"/>
    </row>
    <row r="472">
      <c r="E472" s="12"/>
      <c r="G472" s="12"/>
      <c r="H472" s="12"/>
      <c r="I472" s="12"/>
      <c r="J472" s="12"/>
      <c r="K472" s="12"/>
      <c r="L472" s="12"/>
      <c r="M472" s="12"/>
      <c r="N472" s="12"/>
    </row>
    <row r="473">
      <c r="E473" s="12"/>
      <c r="G473" s="12"/>
      <c r="H473" s="12"/>
      <c r="I473" s="12"/>
      <c r="J473" s="12"/>
      <c r="K473" s="12"/>
      <c r="L473" s="12"/>
      <c r="M473" s="12"/>
      <c r="N473" s="12"/>
    </row>
    <row r="474">
      <c r="E474" s="12"/>
      <c r="G474" s="12"/>
      <c r="H474" s="12"/>
      <c r="I474" s="12"/>
      <c r="J474" s="12"/>
      <c r="K474" s="12"/>
      <c r="L474" s="12"/>
      <c r="M474" s="12"/>
      <c r="N474" s="12"/>
    </row>
    <row r="475">
      <c r="E475" s="12"/>
      <c r="G475" s="12"/>
      <c r="H475" s="12"/>
      <c r="I475" s="12"/>
      <c r="J475" s="12"/>
      <c r="K475" s="12"/>
      <c r="L475" s="12"/>
      <c r="M475" s="12"/>
      <c r="N475" s="12"/>
    </row>
    <row r="476">
      <c r="E476" s="12"/>
      <c r="G476" s="12"/>
      <c r="H476" s="12"/>
      <c r="I476" s="12"/>
      <c r="J476" s="12"/>
      <c r="K476" s="12"/>
      <c r="L476" s="12"/>
      <c r="M476" s="12"/>
      <c r="N476" s="12"/>
    </row>
    <row r="477">
      <c r="E477" s="12"/>
      <c r="G477" s="12"/>
      <c r="H477" s="12"/>
      <c r="I477" s="12"/>
      <c r="J477" s="12"/>
      <c r="K477" s="12"/>
      <c r="L477" s="12"/>
      <c r="M477" s="12"/>
      <c r="N477" s="12"/>
    </row>
    <row r="478">
      <c r="E478" s="12"/>
      <c r="G478" s="12"/>
      <c r="H478" s="12"/>
      <c r="I478" s="12"/>
      <c r="J478" s="12"/>
      <c r="K478" s="12"/>
      <c r="L478" s="12"/>
      <c r="M478" s="12"/>
      <c r="N478" s="12"/>
    </row>
    <row r="479">
      <c r="E479" s="12"/>
      <c r="G479" s="12"/>
      <c r="H479" s="12"/>
      <c r="I479" s="12"/>
      <c r="J479" s="12"/>
      <c r="K479" s="12"/>
      <c r="L479" s="12"/>
      <c r="M479" s="12"/>
      <c r="N479" s="12"/>
    </row>
    <row r="480">
      <c r="E480" s="12"/>
      <c r="G480" s="12"/>
      <c r="H480" s="12"/>
      <c r="I480" s="12"/>
      <c r="J480" s="12"/>
      <c r="K480" s="12"/>
      <c r="L480" s="12"/>
      <c r="M480" s="12"/>
      <c r="N480" s="12"/>
    </row>
    <row r="481">
      <c r="E481" s="12"/>
      <c r="G481" s="12"/>
      <c r="H481" s="12"/>
      <c r="I481" s="12"/>
      <c r="J481" s="12"/>
      <c r="K481" s="12"/>
      <c r="L481" s="12"/>
      <c r="M481" s="12"/>
      <c r="N481" s="12"/>
    </row>
    <row r="482">
      <c r="E482" s="12"/>
      <c r="G482" s="12"/>
      <c r="H482" s="12"/>
      <c r="I482" s="12"/>
      <c r="J482" s="12"/>
      <c r="K482" s="12"/>
      <c r="L482" s="12"/>
      <c r="M482" s="12"/>
      <c r="N482" s="12"/>
    </row>
    <row r="483">
      <c r="E483" s="12"/>
      <c r="G483" s="12"/>
      <c r="H483" s="12"/>
      <c r="I483" s="12"/>
      <c r="J483" s="12"/>
      <c r="K483" s="12"/>
      <c r="L483" s="12"/>
      <c r="M483" s="12"/>
      <c r="N483" s="12"/>
    </row>
    <row r="484">
      <c r="E484" s="12"/>
      <c r="G484" s="12"/>
      <c r="H484" s="12"/>
      <c r="I484" s="12"/>
      <c r="J484" s="12"/>
      <c r="K484" s="12"/>
      <c r="L484" s="12"/>
      <c r="M484" s="12"/>
      <c r="N484" s="12"/>
    </row>
    <row r="485">
      <c r="E485" s="12"/>
      <c r="G485" s="12"/>
      <c r="H485" s="12"/>
      <c r="I485" s="12"/>
      <c r="J485" s="12"/>
      <c r="K485" s="12"/>
      <c r="L485" s="12"/>
      <c r="M485" s="12"/>
      <c r="N485" s="12"/>
    </row>
    <row r="486">
      <c r="E486" s="12"/>
      <c r="G486" s="12"/>
      <c r="H486" s="12"/>
      <c r="I486" s="12"/>
      <c r="J486" s="12"/>
      <c r="K486" s="12"/>
      <c r="L486" s="12"/>
      <c r="M486" s="12"/>
      <c r="N486" s="12"/>
    </row>
    <row r="487">
      <c r="E487" s="12"/>
      <c r="G487" s="12"/>
      <c r="H487" s="12"/>
      <c r="I487" s="12"/>
      <c r="J487" s="12"/>
      <c r="K487" s="12"/>
      <c r="L487" s="12"/>
      <c r="M487" s="12"/>
      <c r="N487" s="12"/>
    </row>
    <row r="488">
      <c r="E488" s="12"/>
      <c r="G488" s="12"/>
      <c r="H488" s="12"/>
      <c r="I488" s="12"/>
      <c r="J488" s="12"/>
      <c r="K488" s="12"/>
      <c r="L488" s="12"/>
      <c r="M488" s="12"/>
      <c r="N488" s="12"/>
    </row>
    <row r="489">
      <c r="E489" s="12"/>
      <c r="G489" s="12"/>
      <c r="H489" s="12"/>
      <c r="I489" s="12"/>
      <c r="J489" s="12"/>
      <c r="K489" s="12"/>
      <c r="L489" s="12"/>
      <c r="M489" s="12"/>
      <c r="N489" s="12"/>
    </row>
    <row r="490">
      <c r="E490" s="12"/>
      <c r="G490" s="12"/>
      <c r="H490" s="12"/>
      <c r="I490" s="12"/>
      <c r="J490" s="12"/>
      <c r="K490" s="12"/>
      <c r="L490" s="12"/>
      <c r="M490" s="12"/>
      <c r="N490" s="12"/>
    </row>
    <row r="491">
      <c r="E491" s="12"/>
      <c r="G491" s="12"/>
      <c r="H491" s="12"/>
      <c r="I491" s="12"/>
      <c r="J491" s="12"/>
      <c r="K491" s="12"/>
      <c r="L491" s="12"/>
      <c r="M491" s="12"/>
      <c r="N491" s="12"/>
    </row>
    <row r="492">
      <c r="E492" s="12"/>
      <c r="G492" s="12"/>
      <c r="H492" s="12"/>
      <c r="I492" s="12"/>
      <c r="J492" s="12"/>
      <c r="K492" s="12"/>
      <c r="L492" s="12"/>
      <c r="M492" s="12"/>
      <c r="N492" s="12"/>
    </row>
    <row r="493">
      <c r="E493" s="12"/>
      <c r="G493" s="12"/>
      <c r="H493" s="12"/>
      <c r="I493" s="12"/>
      <c r="J493" s="12"/>
      <c r="K493" s="12"/>
      <c r="L493" s="12"/>
      <c r="M493" s="12"/>
      <c r="N493" s="12"/>
    </row>
    <row r="494">
      <c r="E494" s="12"/>
      <c r="G494" s="12"/>
      <c r="H494" s="12"/>
      <c r="I494" s="12"/>
      <c r="J494" s="12"/>
      <c r="K494" s="12"/>
      <c r="L494" s="12"/>
      <c r="M494" s="12"/>
      <c r="N494" s="12"/>
    </row>
    <row r="495">
      <c r="E495" s="12"/>
      <c r="G495" s="12"/>
      <c r="H495" s="12"/>
      <c r="I495" s="12"/>
      <c r="J495" s="12"/>
      <c r="K495" s="12"/>
      <c r="L495" s="12"/>
      <c r="M495" s="12"/>
      <c r="N495" s="12"/>
    </row>
    <row r="496">
      <c r="E496" s="12"/>
      <c r="G496" s="12"/>
      <c r="H496" s="12"/>
      <c r="I496" s="12"/>
      <c r="J496" s="12"/>
      <c r="K496" s="12"/>
      <c r="L496" s="12"/>
      <c r="M496" s="12"/>
      <c r="N496" s="12"/>
    </row>
    <row r="497">
      <c r="E497" s="12"/>
      <c r="G497" s="12"/>
      <c r="H497" s="12"/>
      <c r="I497" s="12"/>
      <c r="J497" s="12"/>
      <c r="K497" s="12"/>
      <c r="L497" s="12"/>
      <c r="M497" s="12"/>
      <c r="N497" s="12"/>
    </row>
    <row r="498">
      <c r="E498" s="12"/>
      <c r="G498" s="12"/>
      <c r="H498" s="12"/>
      <c r="I498" s="12"/>
      <c r="J498" s="12"/>
      <c r="K498" s="12"/>
      <c r="L498" s="12"/>
      <c r="M498" s="12"/>
      <c r="N498" s="12"/>
    </row>
    <row r="499">
      <c r="E499" s="12"/>
      <c r="G499" s="12"/>
      <c r="H499" s="12"/>
      <c r="I499" s="12"/>
      <c r="J499" s="12"/>
      <c r="K499" s="12"/>
      <c r="L499" s="12"/>
      <c r="M499" s="12"/>
      <c r="N499" s="12"/>
    </row>
    <row r="500">
      <c r="E500" s="12"/>
      <c r="G500" s="12"/>
      <c r="H500" s="12"/>
      <c r="I500" s="12"/>
      <c r="J500" s="12"/>
      <c r="K500" s="12"/>
      <c r="L500" s="12"/>
      <c r="M500" s="12"/>
      <c r="N500" s="12"/>
    </row>
    <row r="501">
      <c r="E501" s="12"/>
      <c r="G501" s="12"/>
      <c r="H501" s="12"/>
      <c r="I501" s="12"/>
      <c r="J501" s="12"/>
      <c r="K501" s="12"/>
      <c r="L501" s="12"/>
      <c r="M501" s="12"/>
      <c r="N501" s="12"/>
    </row>
    <row r="502">
      <c r="E502" s="12"/>
      <c r="G502" s="12"/>
      <c r="H502" s="12"/>
      <c r="I502" s="12"/>
      <c r="J502" s="12"/>
      <c r="K502" s="12"/>
      <c r="L502" s="12"/>
      <c r="M502" s="12"/>
      <c r="N502" s="12"/>
    </row>
    <row r="503">
      <c r="E503" s="12"/>
      <c r="G503" s="12"/>
      <c r="H503" s="12"/>
      <c r="I503" s="12"/>
      <c r="J503" s="12"/>
      <c r="K503" s="12"/>
      <c r="L503" s="12"/>
      <c r="M503" s="12"/>
      <c r="N503" s="12"/>
    </row>
    <row r="504">
      <c r="E504" s="12"/>
      <c r="G504" s="12"/>
      <c r="H504" s="12"/>
      <c r="I504" s="12"/>
      <c r="J504" s="12"/>
      <c r="K504" s="12"/>
      <c r="L504" s="12"/>
      <c r="M504" s="12"/>
      <c r="N504" s="12"/>
    </row>
    <row r="505">
      <c r="E505" s="12"/>
      <c r="G505" s="12"/>
      <c r="H505" s="12"/>
      <c r="I505" s="12"/>
      <c r="J505" s="12"/>
      <c r="K505" s="12"/>
      <c r="L505" s="12"/>
      <c r="M505" s="12"/>
      <c r="N505" s="12"/>
    </row>
    <row r="506">
      <c r="E506" s="12"/>
      <c r="G506" s="12"/>
      <c r="H506" s="12"/>
      <c r="I506" s="12"/>
      <c r="J506" s="12"/>
      <c r="K506" s="12"/>
      <c r="L506" s="12"/>
      <c r="M506" s="12"/>
      <c r="N506" s="12"/>
    </row>
    <row r="507">
      <c r="E507" s="12"/>
      <c r="G507" s="12"/>
      <c r="H507" s="12"/>
      <c r="I507" s="12"/>
      <c r="J507" s="12"/>
      <c r="K507" s="12"/>
      <c r="L507" s="12"/>
      <c r="M507" s="12"/>
      <c r="N507" s="12"/>
    </row>
    <row r="508">
      <c r="E508" s="12"/>
      <c r="G508" s="12"/>
      <c r="H508" s="12"/>
      <c r="I508" s="12"/>
      <c r="J508" s="12"/>
      <c r="K508" s="12"/>
      <c r="L508" s="12"/>
      <c r="M508" s="12"/>
      <c r="N508" s="12"/>
    </row>
    <row r="509">
      <c r="E509" s="12"/>
      <c r="G509" s="12"/>
      <c r="H509" s="12"/>
      <c r="I509" s="12"/>
      <c r="J509" s="12"/>
      <c r="K509" s="12"/>
      <c r="L509" s="12"/>
      <c r="M509" s="12"/>
      <c r="N509" s="12"/>
    </row>
    <row r="510">
      <c r="E510" s="12"/>
      <c r="G510" s="12"/>
      <c r="H510" s="12"/>
      <c r="I510" s="12"/>
      <c r="J510" s="12"/>
      <c r="K510" s="12"/>
      <c r="L510" s="12"/>
      <c r="M510" s="12"/>
      <c r="N510" s="12"/>
    </row>
    <row r="511">
      <c r="E511" s="12"/>
      <c r="G511" s="12"/>
      <c r="H511" s="12"/>
      <c r="I511" s="12"/>
      <c r="J511" s="12"/>
      <c r="K511" s="12"/>
      <c r="L511" s="12"/>
      <c r="M511" s="12"/>
      <c r="N511" s="12"/>
    </row>
    <row r="512">
      <c r="E512" s="12"/>
      <c r="G512" s="12"/>
      <c r="H512" s="12"/>
      <c r="I512" s="12"/>
      <c r="J512" s="12"/>
      <c r="K512" s="12"/>
      <c r="L512" s="12"/>
      <c r="M512" s="12"/>
      <c r="N512" s="12"/>
    </row>
    <row r="513">
      <c r="E513" s="12"/>
      <c r="G513" s="12"/>
      <c r="H513" s="12"/>
      <c r="I513" s="12"/>
      <c r="J513" s="12"/>
      <c r="K513" s="12"/>
      <c r="L513" s="12"/>
      <c r="M513" s="12"/>
      <c r="N513" s="12"/>
    </row>
    <row r="514">
      <c r="E514" s="12"/>
      <c r="G514" s="12"/>
      <c r="H514" s="12"/>
      <c r="I514" s="12"/>
      <c r="J514" s="12"/>
      <c r="K514" s="12"/>
      <c r="L514" s="12"/>
      <c r="M514" s="12"/>
      <c r="N514" s="12"/>
    </row>
    <row r="515">
      <c r="E515" s="12"/>
      <c r="G515" s="12"/>
      <c r="H515" s="12"/>
      <c r="I515" s="12"/>
      <c r="J515" s="12"/>
      <c r="K515" s="12"/>
      <c r="L515" s="12"/>
      <c r="M515" s="12"/>
      <c r="N515" s="12"/>
    </row>
    <row r="516">
      <c r="E516" s="12"/>
      <c r="G516" s="12"/>
      <c r="H516" s="12"/>
      <c r="I516" s="12"/>
      <c r="J516" s="12"/>
      <c r="K516" s="12"/>
      <c r="L516" s="12"/>
      <c r="M516" s="12"/>
      <c r="N516" s="12"/>
    </row>
    <row r="517">
      <c r="E517" s="12"/>
      <c r="G517" s="12"/>
      <c r="H517" s="12"/>
      <c r="I517" s="12"/>
      <c r="J517" s="12"/>
      <c r="K517" s="12"/>
      <c r="L517" s="12"/>
      <c r="M517" s="12"/>
      <c r="N517" s="12"/>
    </row>
    <row r="518">
      <c r="E518" s="12"/>
      <c r="G518" s="12"/>
      <c r="H518" s="12"/>
      <c r="I518" s="12"/>
      <c r="J518" s="12"/>
      <c r="K518" s="12"/>
      <c r="L518" s="12"/>
      <c r="M518" s="12"/>
      <c r="N518" s="12"/>
    </row>
    <row r="519">
      <c r="E519" s="12"/>
      <c r="G519" s="12"/>
      <c r="H519" s="12"/>
      <c r="I519" s="12"/>
      <c r="J519" s="12"/>
      <c r="K519" s="12"/>
      <c r="L519" s="12"/>
      <c r="M519" s="12"/>
      <c r="N519" s="12"/>
    </row>
    <row r="520">
      <c r="E520" s="12"/>
      <c r="G520" s="12"/>
      <c r="H520" s="12"/>
      <c r="I520" s="12"/>
      <c r="J520" s="12"/>
      <c r="K520" s="12"/>
      <c r="L520" s="12"/>
      <c r="M520" s="12"/>
      <c r="N520" s="12"/>
    </row>
    <row r="521">
      <c r="E521" s="12"/>
      <c r="G521" s="12"/>
      <c r="H521" s="12"/>
      <c r="I521" s="12"/>
      <c r="J521" s="12"/>
      <c r="K521" s="12"/>
      <c r="L521" s="12"/>
      <c r="M521" s="12"/>
      <c r="N521" s="12"/>
    </row>
    <row r="522">
      <c r="E522" s="12"/>
      <c r="G522" s="12"/>
      <c r="H522" s="12"/>
      <c r="I522" s="12"/>
      <c r="J522" s="12"/>
      <c r="K522" s="12"/>
      <c r="L522" s="12"/>
      <c r="M522" s="12"/>
      <c r="N522" s="12"/>
    </row>
    <row r="523">
      <c r="E523" s="12"/>
      <c r="G523" s="12"/>
      <c r="H523" s="12"/>
      <c r="I523" s="12"/>
      <c r="J523" s="12"/>
      <c r="K523" s="12"/>
      <c r="L523" s="12"/>
      <c r="M523" s="12"/>
      <c r="N523" s="12"/>
    </row>
    <row r="524">
      <c r="E524" s="12"/>
      <c r="G524" s="12"/>
      <c r="H524" s="12"/>
      <c r="I524" s="12"/>
      <c r="J524" s="12"/>
      <c r="K524" s="12"/>
      <c r="L524" s="12"/>
      <c r="M524" s="12"/>
      <c r="N524" s="12"/>
    </row>
    <row r="525">
      <c r="E525" s="12"/>
      <c r="G525" s="12"/>
      <c r="H525" s="12"/>
      <c r="I525" s="12"/>
      <c r="J525" s="12"/>
      <c r="K525" s="12"/>
      <c r="L525" s="12"/>
      <c r="M525" s="12"/>
      <c r="N525" s="12"/>
    </row>
    <row r="526">
      <c r="E526" s="12"/>
      <c r="G526" s="12"/>
      <c r="H526" s="12"/>
      <c r="I526" s="12"/>
      <c r="J526" s="12"/>
      <c r="K526" s="12"/>
      <c r="L526" s="12"/>
      <c r="M526" s="12"/>
      <c r="N526" s="12"/>
    </row>
    <row r="527">
      <c r="E527" s="12"/>
      <c r="G527" s="12"/>
      <c r="H527" s="12"/>
      <c r="I527" s="12"/>
      <c r="J527" s="12"/>
      <c r="K527" s="12"/>
      <c r="L527" s="12"/>
      <c r="M527" s="12"/>
      <c r="N527" s="12"/>
    </row>
    <row r="528">
      <c r="E528" s="12"/>
      <c r="G528" s="12"/>
      <c r="H528" s="12"/>
      <c r="I528" s="12"/>
      <c r="J528" s="12"/>
      <c r="K528" s="12"/>
      <c r="L528" s="12"/>
      <c r="M528" s="12"/>
      <c r="N528" s="12"/>
    </row>
    <row r="529">
      <c r="E529" s="12"/>
      <c r="G529" s="12"/>
      <c r="H529" s="12"/>
      <c r="I529" s="12"/>
      <c r="J529" s="12"/>
      <c r="K529" s="12"/>
      <c r="L529" s="12"/>
      <c r="M529" s="12"/>
      <c r="N529" s="12"/>
    </row>
    <row r="530">
      <c r="E530" s="12"/>
      <c r="G530" s="12"/>
      <c r="H530" s="12"/>
      <c r="I530" s="12"/>
      <c r="J530" s="12"/>
      <c r="K530" s="12"/>
      <c r="L530" s="12"/>
      <c r="M530" s="12"/>
      <c r="N530" s="12"/>
    </row>
    <row r="531">
      <c r="E531" s="12"/>
      <c r="G531" s="12"/>
      <c r="H531" s="12"/>
      <c r="I531" s="12"/>
      <c r="J531" s="12"/>
      <c r="K531" s="12"/>
      <c r="L531" s="12"/>
      <c r="M531" s="12"/>
      <c r="N531" s="12"/>
    </row>
    <row r="532">
      <c r="E532" s="12"/>
      <c r="G532" s="12"/>
      <c r="H532" s="12"/>
      <c r="I532" s="12"/>
      <c r="J532" s="12"/>
      <c r="K532" s="12"/>
      <c r="L532" s="12"/>
      <c r="M532" s="12"/>
      <c r="N532" s="12"/>
    </row>
    <row r="533">
      <c r="E533" s="12"/>
      <c r="G533" s="12"/>
      <c r="H533" s="12"/>
      <c r="I533" s="12"/>
      <c r="J533" s="12"/>
      <c r="K533" s="12"/>
      <c r="L533" s="12"/>
      <c r="M533" s="12"/>
      <c r="N533" s="12"/>
    </row>
    <row r="534">
      <c r="E534" s="12"/>
      <c r="G534" s="12"/>
      <c r="H534" s="12"/>
      <c r="I534" s="12"/>
      <c r="J534" s="12"/>
      <c r="K534" s="12"/>
      <c r="L534" s="12"/>
      <c r="M534" s="12"/>
      <c r="N534" s="12"/>
    </row>
    <row r="535">
      <c r="E535" s="12"/>
      <c r="G535" s="12"/>
      <c r="H535" s="12"/>
      <c r="I535" s="12"/>
      <c r="J535" s="12"/>
      <c r="K535" s="12"/>
      <c r="L535" s="12"/>
      <c r="M535" s="12"/>
      <c r="N535" s="12"/>
    </row>
    <row r="536">
      <c r="E536" s="12"/>
      <c r="G536" s="12"/>
      <c r="H536" s="12"/>
      <c r="I536" s="12"/>
      <c r="J536" s="12"/>
      <c r="K536" s="12"/>
      <c r="L536" s="12"/>
      <c r="M536" s="12"/>
      <c r="N536" s="12"/>
    </row>
    <row r="537">
      <c r="E537" s="12"/>
      <c r="G537" s="12"/>
      <c r="H537" s="12"/>
      <c r="I537" s="12"/>
      <c r="J537" s="12"/>
      <c r="K537" s="12"/>
      <c r="L537" s="12"/>
      <c r="M537" s="12"/>
      <c r="N537" s="12"/>
    </row>
    <row r="538">
      <c r="E538" s="12"/>
      <c r="G538" s="12"/>
      <c r="H538" s="12"/>
      <c r="I538" s="12"/>
      <c r="J538" s="12"/>
      <c r="K538" s="12"/>
      <c r="L538" s="12"/>
      <c r="M538" s="12"/>
      <c r="N538" s="12"/>
    </row>
    <row r="539">
      <c r="E539" s="12"/>
      <c r="G539" s="12"/>
      <c r="H539" s="12"/>
      <c r="I539" s="12"/>
      <c r="J539" s="12"/>
      <c r="K539" s="12"/>
      <c r="L539" s="12"/>
      <c r="M539" s="12"/>
      <c r="N539" s="12"/>
    </row>
    <row r="540">
      <c r="E540" s="12"/>
      <c r="G540" s="12"/>
      <c r="H540" s="12"/>
      <c r="I540" s="12"/>
      <c r="J540" s="12"/>
      <c r="K540" s="12"/>
      <c r="L540" s="12"/>
      <c r="M540" s="12"/>
      <c r="N540" s="12"/>
    </row>
    <row r="541">
      <c r="E541" s="12"/>
      <c r="G541" s="12"/>
      <c r="H541" s="12"/>
      <c r="I541" s="12"/>
      <c r="J541" s="12"/>
      <c r="K541" s="12"/>
      <c r="L541" s="12"/>
      <c r="M541" s="12"/>
      <c r="N541" s="12"/>
    </row>
    <row r="542">
      <c r="E542" s="12"/>
      <c r="G542" s="12"/>
      <c r="H542" s="12"/>
      <c r="I542" s="12"/>
      <c r="J542" s="12"/>
      <c r="K542" s="12"/>
      <c r="L542" s="12"/>
      <c r="M542" s="12"/>
      <c r="N542" s="12"/>
    </row>
    <row r="543">
      <c r="E543" s="12"/>
      <c r="G543" s="12"/>
      <c r="H543" s="12"/>
      <c r="I543" s="12"/>
      <c r="J543" s="12"/>
      <c r="K543" s="12"/>
      <c r="L543" s="12"/>
      <c r="M543" s="12"/>
      <c r="N543" s="12"/>
    </row>
    <row r="544">
      <c r="E544" s="12"/>
      <c r="G544" s="12"/>
      <c r="H544" s="12"/>
      <c r="I544" s="12"/>
      <c r="J544" s="12"/>
      <c r="K544" s="12"/>
      <c r="L544" s="12"/>
      <c r="M544" s="12"/>
      <c r="N544" s="12"/>
    </row>
    <row r="545">
      <c r="E545" s="12"/>
      <c r="G545" s="12"/>
      <c r="H545" s="12"/>
      <c r="I545" s="12"/>
      <c r="J545" s="12"/>
      <c r="K545" s="12"/>
      <c r="L545" s="12"/>
      <c r="M545" s="12"/>
      <c r="N545" s="12"/>
    </row>
    <row r="546">
      <c r="E546" s="12"/>
      <c r="G546" s="12"/>
      <c r="H546" s="12"/>
      <c r="I546" s="12"/>
      <c r="J546" s="12"/>
      <c r="K546" s="12"/>
      <c r="L546" s="12"/>
      <c r="M546" s="12"/>
      <c r="N546" s="12"/>
    </row>
    <row r="547">
      <c r="E547" s="12"/>
      <c r="G547" s="12"/>
      <c r="H547" s="12"/>
      <c r="I547" s="12"/>
      <c r="J547" s="12"/>
      <c r="K547" s="12"/>
      <c r="L547" s="12"/>
      <c r="M547" s="12"/>
      <c r="N547" s="12"/>
    </row>
    <row r="548">
      <c r="E548" s="12"/>
      <c r="G548" s="12"/>
      <c r="H548" s="12"/>
      <c r="I548" s="12"/>
      <c r="J548" s="12"/>
      <c r="K548" s="12"/>
      <c r="L548" s="12"/>
      <c r="M548" s="12"/>
      <c r="N548" s="12"/>
    </row>
    <row r="549">
      <c r="E549" s="12"/>
      <c r="G549" s="12"/>
      <c r="H549" s="12"/>
      <c r="I549" s="12"/>
      <c r="J549" s="12"/>
      <c r="K549" s="12"/>
      <c r="L549" s="12"/>
      <c r="M549" s="12"/>
      <c r="N549" s="12"/>
    </row>
    <row r="550">
      <c r="E550" s="12"/>
      <c r="G550" s="12"/>
      <c r="H550" s="12"/>
      <c r="I550" s="12"/>
      <c r="J550" s="12"/>
      <c r="K550" s="12"/>
      <c r="L550" s="12"/>
      <c r="M550" s="12"/>
      <c r="N550" s="12"/>
    </row>
    <row r="551">
      <c r="E551" s="12"/>
      <c r="G551" s="12"/>
      <c r="H551" s="12"/>
      <c r="I551" s="12"/>
      <c r="J551" s="12"/>
      <c r="K551" s="12"/>
      <c r="L551" s="12"/>
      <c r="M551" s="12"/>
      <c r="N551" s="12"/>
    </row>
    <row r="552">
      <c r="E552" s="12"/>
      <c r="G552" s="12"/>
      <c r="H552" s="12"/>
      <c r="I552" s="12"/>
      <c r="J552" s="12"/>
      <c r="K552" s="12"/>
      <c r="L552" s="12"/>
      <c r="M552" s="12"/>
      <c r="N552" s="12"/>
    </row>
    <row r="553">
      <c r="E553" s="12"/>
      <c r="G553" s="12"/>
      <c r="H553" s="12"/>
      <c r="I553" s="12"/>
      <c r="J553" s="12"/>
      <c r="K553" s="12"/>
      <c r="L553" s="12"/>
      <c r="M553" s="12"/>
      <c r="N553" s="12"/>
    </row>
    <row r="554">
      <c r="E554" s="12"/>
      <c r="G554" s="12"/>
      <c r="H554" s="12"/>
      <c r="I554" s="12"/>
      <c r="J554" s="12"/>
      <c r="K554" s="12"/>
      <c r="L554" s="12"/>
      <c r="M554" s="12"/>
      <c r="N554" s="12"/>
    </row>
    <row r="555">
      <c r="E555" s="12"/>
      <c r="G555" s="12"/>
      <c r="H555" s="12"/>
      <c r="I555" s="12"/>
      <c r="J555" s="12"/>
      <c r="K555" s="12"/>
      <c r="L555" s="12"/>
      <c r="M555" s="12"/>
      <c r="N555" s="12"/>
    </row>
    <row r="556">
      <c r="E556" s="12"/>
      <c r="G556" s="12"/>
      <c r="H556" s="12"/>
      <c r="I556" s="12"/>
      <c r="J556" s="12"/>
      <c r="K556" s="12"/>
      <c r="L556" s="12"/>
      <c r="M556" s="12"/>
      <c r="N556" s="12"/>
    </row>
    <row r="557">
      <c r="E557" s="12"/>
      <c r="G557" s="12"/>
      <c r="H557" s="12"/>
      <c r="I557" s="12"/>
      <c r="J557" s="12"/>
      <c r="K557" s="12"/>
      <c r="L557" s="12"/>
      <c r="M557" s="12"/>
      <c r="N557" s="12"/>
    </row>
    <row r="558">
      <c r="E558" s="12"/>
      <c r="G558" s="12"/>
      <c r="H558" s="12"/>
      <c r="I558" s="12"/>
      <c r="J558" s="12"/>
      <c r="K558" s="12"/>
      <c r="L558" s="12"/>
      <c r="M558" s="12"/>
      <c r="N558" s="12"/>
    </row>
    <row r="559">
      <c r="E559" s="12"/>
      <c r="G559" s="12"/>
      <c r="H559" s="12"/>
      <c r="I559" s="12"/>
      <c r="J559" s="12"/>
      <c r="K559" s="12"/>
      <c r="L559" s="12"/>
      <c r="M559" s="12"/>
      <c r="N559" s="12"/>
    </row>
    <row r="560">
      <c r="E560" s="12"/>
      <c r="G560" s="12"/>
      <c r="H560" s="12"/>
      <c r="I560" s="12"/>
      <c r="J560" s="12"/>
      <c r="K560" s="12"/>
      <c r="L560" s="12"/>
      <c r="M560" s="12"/>
      <c r="N560" s="12"/>
    </row>
    <row r="561">
      <c r="E561" s="12"/>
      <c r="G561" s="12"/>
      <c r="H561" s="12"/>
      <c r="I561" s="12"/>
      <c r="J561" s="12"/>
      <c r="K561" s="12"/>
      <c r="L561" s="12"/>
      <c r="M561" s="12"/>
      <c r="N561" s="12"/>
    </row>
    <row r="562">
      <c r="E562" s="12"/>
      <c r="G562" s="12"/>
      <c r="H562" s="12"/>
      <c r="I562" s="12"/>
      <c r="J562" s="12"/>
      <c r="K562" s="12"/>
      <c r="L562" s="12"/>
      <c r="M562" s="12"/>
      <c r="N562" s="12"/>
    </row>
    <row r="563">
      <c r="E563" s="12"/>
      <c r="G563" s="12"/>
      <c r="H563" s="12"/>
      <c r="I563" s="12"/>
      <c r="J563" s="12"/>
      <c r="K563" s="12"/>
      <c r="L563" s="12"/>
      <c r="M563" s="12"/>
      <c r="N563" s="12"/>
    </row>
    <row r="564">
      <c r="E564" s="12"/>
      <c r="G564" s="12"/>
      <c r="H564" s="12"/>
      <c r="I564" s="12"/>
      <c r="J564" s="12"/>
      <c r="K564" s="12"/>
      <c r="L564" s="12"/>
      <c r="M564" s="12"/>
      <c r="N564" s="12"/>
    </row>
    <row r="565">
      <c r="E565" s="12"/>
      <c r="G565" s="12"/>
      <c r="H565" s="12"/>
      <c r="I565" s="12"/>
      <c r="J565" s="12"/>
      <c r="K565" s="12"/>
      <c r="L565" s="12"/>
      <c r="M565" s="12"/>
      <c r="N565" s="12"/>
    </row>
    <row r="566">
      <c r="E566" s="12"/>
      <c r="G566" s="12"/>
      <c r="H566" s="12"/>
      <c r="I566" s="12"/>
      <c r="J566" s="12"/>
      <c r="K566" s="12"/>
      <c r="L566" s="12"/>
      <c r="M566" s="12"/>
      <c r="N566" s="12"/>
    </row>
    <row r="567">
      <c r="E567" s="12"/>
      <c r="G567" s="12"/>
      <c r="H567" s="12"/>
      <c r="I567" s="12"/>
      <c r="J567" s="12"/>
      <c r="K567" s="12"/>
      <c r="L567" s="12"/>
      <c r="M567" s="12"/>
      <c r="N567" s="12"/>
    </row>
    <row r="568">
      <c r="E568" s="12"/>
      <c r="G568" s="12"/>
      <c r="H568" s="12"/>
      <c r="I568" s="12"/>
      <c r="J568" s="12"/>
      <c r="K568" s="12"/>
      <c r="L568" s="12"/>
      <c r="M568" s="12"/>
      <c r="N568" s="12"/>
    </row>
    <row r="569">
      <c r="E569" s="12"/>
      <c r="G569" s="12"/>
      <c r="H569" s="12"/>
      <c r="I569" s="12"/>
      <c r="J569" s="12"/>
      <c r="K569" s="12"/>
      <c r="L569" s="12"/>
      <c r="M569" s="12"/>
      <c r="N569" s="12"/>
    </row>
    <row r="570">
      <c r="E570" s="12"/>
      <c r="G570" s="12"/>
      <c r="H570" s="12"/>
      <c r="I570" s="12"/>
      <c r="J570" s="12"/>
      <c r="K570" s="12"/>
      <c r="L570" s="12"/>
      <c r="M570" s="12"/>
      <c r="N570" s="12"/>
    </row>
    <row r="571">
      <c r="E571" s="12"/>
      <c r="G571" s="12"/>
      <c r="H571" s="12"/>
      <c r="I571" s="12"/>
      <c r="J571" s="12"/>
      <c r="K571" s="12"/>
      <c r="L571" s="12"/>
      <c r="M571" s="12"/>
      <c r="N571" s="12"/>
    </row>
    <row r="572">
      <c r="E572" s="12"/>
      <c r="G572" s="12"/>
      <c r="H572" s="12"/>
      <c r="I572" s="12"/>
      <c r="J572" s="12"/>
      <c r="K572" s="12"/>
      <c r="L572" s="12"/>
      <c r="M572" s="12"/>
      <c r="N572" s="12"/>
    </row>
    <row r="573">
      <c r="E573" s="12"/>
      <c r="G573" s="12"/>
      <c r="H573" s="12"/>
      <c r="I573" s="12"/>
      <c r="J573" s="12"/>
      <c r="K573" s="12"/>
      <c r="L573" s="12"/>
      <c r="M573" s="12"/>
      <c r="N573" s="12"/>
    </row>
    <row r="574">
      <c r="E574" s="12"/>
      <c r="G574" s="12"/>
      <c r="H574" s="12"/>
      <c r="I574" s="12"/>
      <c r="J574" s="12"/>
      <c r="K574" s="12"/>
      <c r="L574" s="12"/>
      <c r="M574" s="12"/>
      <c r="N574" s="12"/>
    </row>
    <row r="575">
      <c r="E575" s="12"/>
      <c r="G575" s="12"/>
      <c r="H575" s="12"/>
      <c r="I575" s="12"/>
      <c r="J575" s="12"/>
      <c r="K575" s="12"/>
      <c r="L575" s="12"/>
      <c r="M575" s="12"/>
      <c r="N575" s="12"/>
    </row>
    <row r="576">
      <c r="E576" s="12"/>
      <c r="G576" s="12"/>
      <c r="H576" s="12"/>
      <c r="I576" s="12"/>
      <c r="J576" s="12"/>
      <c r="K576" s="12"/>
      <c r="L576" s="12"/>
      <c r="M576" s="12"/>
      <c r="N576" s="12"/>
    </row>
    <row r="577">
      <c r="E577" s="12"/>
      <c r="G577" s="12"/>
      <c r="H577" s="12"/>
      <c r="I577" s="12"/>
      <c r="J577" s="12"/>
      <c r="K577" s="12"/>
      <c r="L577" s="12"/>
      <c r="M577" s="12"/>
      <c r="N577" s="12"/>
    </row>
    <row r="578">
      <c r="E578" s="12"/>
      <c r="G578" s="12"/>
      <c r="H578" s="12"/>
      <c r="I578" s="12"/>
      <c r="J578" s="12"/>
      <c r="K578" s="12"/>
      <c r="L578" s="12"/>
      <c r="M578" s="12"/>
      <c r="N578" s="12"/>
    </row>
    <row r="579">
      <c r="E579" s="12"/>
      <c r="G579" s="12"/>
      <c r="H579" s="12"/>
      <c r="I579" s="12"/>
      <c r="J579" s="12"/>
      <c r="K579" s="12"/>
      <c r="L579" s="12"/>
      <c r="M579" s="12"/>
      <c r="N579" s="12"/>
    </row>
    <row r="580">
      <c r="E580" s="12"/>
      <c r="G580" s="12"/>
      <c r="H580" s="12"/>
      <c r="I580" s="12"/>
      <c r="J580" s="12"/>
      <c r="K580" s="12"/>
      <c r="L580" s="12"/>
      <c r="M580" s="12"/>
      <c r="N580" s="12"/>
    </row>
    <row r="581">
      <c r="E581" s="12"/>
      <c r="G581" s="12"/>
      <c r="H581" s="12"/>
      <c r="I581" s="12"/>
      <c r="J581" s="12"/>
      <c r="K581" s="12"/>
      <c r="L581" s="12"/>
      <c r="M581" s="12"/>
      <c r="N581" s="12"/>
    </row>
    <row r="582">
      <c r="E582" s="12"/>
      <c r="G582" s="12"/>
      <c r="H582" s="12"/>
      <c r="I582" s="12"/>
      <c r="J582" s="12"/>
      <c r="K582" s="12"/>
      <c r="L582" s="12"/>
      <c r="M582" s="12"/>
      <c r="N582" s="12"/>
    </row>
    <row r="583">
      <c r="E583" s="12"/>
      <c r="G583" s="12"/>
      <c r="H583" s="12"/>
      <c r="I583" s="12"/>
      <c r="J583" s="12"/>
      <c r="K583" s="12"/>
      <c r="L583" s="12"/>
      <c r="M583" s="12"/>
      <c r="N583" s="12"/>
    </row>
    <row r="584">
      <c r="E584" s="12"/>
      <c r="G584" s="12"/>
      <c r="H584" s="12"/>
      <c r="I584" s="12"/>
      <c r="J584" s="12"/>
      <c r="K584" s="12"/>
      <c r="L584" s="12"/>
      <c r="M584" s="12"/>
      <c r="N584" s="12"/>
    </row>
    <row r="585">
      <c r="E585" s="12"/>
      <c r="G585" s="12"/>
      <c r="H585" s="12"/>
      <c r="I585" s="12"/>
      <c r="J585" s="12"/>
      <c r="K585" s="12"/>
      <c r="L585" s="12"/>
      <c r="M585" s="12"/>
      <c r="N585" s="12"/>
    </row>
    <row r="586">
      <c r="E586" s="12"/>
      <c r="G586" s="12"/>
      <c r="H586" s="12"/>
      <c r="I586" s="12"/>
      <c r="J586" s="12"/>
      <c r="K586" s="12"/>
      <c r="L586" s="12"/>
      <c r="M586" s="12"/>
      <c r="N586" s="12"/>
    </row>
    <row r="587">
      <c r="E587" s="12"/>
      <c r="G587" s="12"/>
      <c r="H587" s="12"/>
      <c r="I587" s="12"/>
      <c r="J587" s="12"/>
      <c r="K587" s="12"/>
      <c r="L587" s="12"/>
      <c r="M587" s="12"/>
      <c r="N587" s="12"/>
    </row>
    <row r="588">
      <c r="E588" s="12"/>
      <c r="G588" s="12"/>
      <c r="H588" s="12"/>
      <c r="I588" s="12"/>
      <c r="J588" s="12"/>
      <c r="K588" s="12"/>
      <c r="L588" s="12"/>
      <c r="M588" s="12"/>
      <c r="N588" s="12"/>
    </row>
    <row r="589">
      <c r="E589" s="12"/>
      <c r="G589" s="12"/>
      <c r="H589" s="12"/>
      <c r="I589" s="12"/>
      <c r="J589" s="12"/>
      <c r="K589" s="12"/>
      <c r="L589" s="12"/>
      <c r="M589" s="12"/>
      <c r="N589" s="12"/>
    </row>
    <row r="590">
      <c r="E590" s="12"/>
      <c r="G590" s="12"/>
      <c r="H590" s="12"/>
      <c r="I590" s="12"/>
      <c r="J590" s="12"/>
      <c r="K590" s="12"/>
      <c r="L590" s="12"/>
      <c r="M590" s="12"/>
      <c r="N590" s="12"/>
    </row>
    <row r="591">
      <c r="E591" s="12"/>
      <c r="G591" s="12"/>
      <c r="H591" s="12"/>
      <c r="I591" s="12"/>
      <c r="J591" s="12"/>
      <c r="K591" s="12"/>
      <c r="L591" s="12"/>
      <c r="M591" s="12"/>
      <c r="N591" s="12"/>
    </row>
    <row r="592">
      <c r="E592" s="12"/>
      <c r="G592" s="12"/>
      <c r="H592" s="12"/>
      <c r="I592" s="12"/>
      <c r="J592" s="12"/>
      <c r="K592" s="12"/>
      <c r="L592" s="12"/>
      <c r="M592" s="12"/>
      <c r="N592" s="12"/>
    </row>
    <row r="593">
      <c r="E593" s="12"/>
      <c r="G593" s="12"/>
      <c r="H593" s="12"/>
      <c r="I593" s="12"/>
      <c r="J593" s="12"/>
      <c r="K593" s="12"/>
      <c r="L593" s="12"/>
      <c r="M593" s="12"/>
      <c r="N593" s="12"/>
    </row>
    <row r="594">
      <c r="E594" s="12"/>
      <c r="G594" s="12"/>
      <c r="H594" s="12"/>
      <c r="I594" s="12"/>
      <c r="J594" s="12"/>
      <c r="K594" s="12"/>
      <c r="L594" s="12"/>
      <c r="M594" s="12"/>
      <c r="N594" s="12"/>
    </row>
    <row r="595">
      <c r="E595" s="12"/>
      <c r="G595" s="12"/>
      <c r="H595" s="12"/>
      <c r="I595" s="12"/>
      <c r="J595" s="12"/>
      <c r="K595" s="12"/>
      <c r="L595" s="12"/>
      <c r="M595" s="12"/>
      <c r="N595" s="12"/>
    </row>
    <row r="596">
      <c r="E596" s="12"/>
      <c r="G596" s="12"/>
      <c r="H596" s="12"/>
      <c r="I596" s="12"/>
      <c r="J596" s="12"/>
      <c r="K596" s="12"/>
      <c r="L596" s="12"/>
      <c r="M596" s="12"/>
      <c r="N596" s="12"/>
    </row>
    <row r="597">
      <c r="E597" s="12"/>
      <c r="G597" s="12"/>
      <c r="H597" s="12"/>
      <c r="I597" s="12"/>
      <c r="J597" s="12"/>
      <c r="K597" s="12"/>
      <c r="L597" s="12"/>
      <c r="M597" s="12"/>
      <c r="N597" s="12"/>
    </row>
    <row r="598">
      <c r="E598" s="12"/>
      <c r="G598" s="12"/>
      <c r="H598" s="12"/>
      <c r="I598" s="12"/>
      <c r="J598" s="12"/>
      <c r="K598" s="12"/>
      <c r="L598" s="12"/>
      <c r="M598" s="12"/>
      <c r="N598" s="12"/>
    </row>
    <row r="599">
      <c r="E599" s="12"/>
      <c r="G599" s="12"/>
      <c r="H599" s="12"/>
      <c r="I599" s="12"/>
      <c r="J599" s="12"/>
      <c r="K599" s="12"/>
      <c r="L599" s="12"/>
      <c r="M599" s="12"/>
      <c r="N599" s="12"/>
    </row>
    <row r="600">
      <c r="E600" s="12"/>
      <c r="G600" s="12"/>
      <c r="H600" s="12"/>
      <c r="I600" s="12"/>
      <c r="J600" s="12"/>
      <c r="K600" s="12"/>
      <c r="L600" s="12"/>
      <c r="M600" s="12"/>
      <c r="N600" s="12"/>
    </row>
    <row r="601">
      <c r="E601" s="12"/>
      <c r="G601" s="12"/>
      <c r="H601" s="12"/>
      <c r="I601" s="12"/>
      <c r="J601" s="12"/>
      <c r="K601" s="12"/>
      <c r="L601" s="12"/>
      <c r="M601" s="12"/>
      <c r="N601" s="12"/>
    </row>
    <row r="602">
      <c r="E602" s="12"/>
      <c r="G602" s="12"/>
      <c r="H602" s="12"/>
      <c r="I602" s="12"/>
      <c r="J602" s="12"/>
      <c r="K602" s="12"/>
      <c r="L602" s="12"/>
      <c r="M602" s="12"/>
      <c r="N602" s="12"/>
    </row>
    <row r="603">
      <c r="E603" s="12"/>
      <c r="G603" s="12"/>
      <c r="H603" s="12"/>
      <c r="I603" s="12"/>
      <c r="J603" s="12"/>
      <c r="K603" s="12"/>
      <c r="L603" s="12"/>
      <c r="M603" s="12"/>
      <c r="N603" s="12"/>
    </row>
    <row r="604">
      <c r="E604" s="12"/>
      <c r="G604" s="12"/>
      <c r="H604" s="12"/>
      <c r="I604" s="12"/>
      <c r="J604" s="12"/>
      <c r="K604" s="12"/>
      <c r="L604" s="12"/>
      <c r="M604" s="12"/>
      <c r="N604" s="12"/>
    </row>
    <row r="605">
      <c r="E605" s="12"/>
      <c r="G605" s="12"/>
      <c r="H605" s="12"/>
      <c r="I605" s="12"/>
      <c r="J605" s="12"/>
      <c r="K605" s="12"/>
      <c r="L605" s="12"/>
      <c r="M605" s="12"/>
      <c r="N605" s="12"/>
    </row>
    <row r="606">
      <c r="E606" s="12"/>
      <c r="G606" s="12"/>
      <c r="H606" s="12"/>
      <c r="I606" s="12"/>
      <c r="J606" s="12"/>
      <c r="K606" s="12"/>
      <c r="L606" s="12"/>
      <c r="M606" s="12"/>
      <c r="N606" s="12"/>
    </row>
    <row r="607">
      <c r="E607" s="12"/>
      <c r="G607" s="12"/>
      <c r="H607" s="12"/>
      <c r="I607" s="12"/>
      <c r="J607" s="12"/>
      <c r="K607" s="12"/>
      <c r="L607" s="12"/>
      <c r="M607" s="12"/>
      <c r="N607" s="12"/>
    </row>
    <row r="608">
      <c r="E608" s="12"/>
      <c r="G608" s="12"/>
      <c r="H608" s="12"/>
      <c r="I608" s="12"/>
      <c r="J608" s="12"/>
      <c r="K608" s="12"/>
      <c r="L608" s="12"/>
      <c r="M608" s="12"/>
      <c r="N608" s="12"/>
    </row>
    <row r="609">
      <c r="E609" s="12"/>
      <c r="G609" s="12"/>
      <c r="H609" s="12"/>
      <c r="I609" s="12"/>
      <c r="J609" s="12"/>
      <c r="K609" s="12"/>
      <c r="L609" s="12"/>
      <c r="M609" s="12"/>
      <c r="N609" s="12"/>
    </row>
    <row r="610">
      <c r="E610" s="12"/>
      <c r="G610" s="12"/>
      <c r="H610" s="12"/>
      <c r="I610" s="12"/>
      <c r="J610" s="12"/>
      <c r="K610" s="12"/>
      <c r="L610" s="12"/>
      <c r="M610" s="12"/>
      <c r="N610" s="12"/>
    </row>
    <row r="611">
      <c r="E611" s="12"/>
      <c r="G611" s="12"/>
      <c r="H611" s="12"/>
      <c r="I611" s="12"/>
      <c r="J611" s="12"/>
      <c r="K611" s="12"/>
      <c r="L611" s="12"/>
      <c r="M611" s="12"/>
      <c r="N611" s="12"/>
    </row>
    <row r="612">
      <c r="E612" s="12"/>
      <c r="G612" s="12"/>
      <c r="H612" s="12"/>
      <c r="I612" s="12"/>
      <c r="J612" s="12"/>
      <c r="K612" s="12"/>
      <c r="L612" s="12"/>
      <c r="M612" s="12"/>
      <c r="N612" s="12"/>
    </row>
    <row r="613">
      <c r="E613" s="12"/>
      <c r="G613" s="12"/>
      <c r="H613" s="12"/>
      <c r="I613" s="12"/>
      <c r="J613" s="12"/>
      <c r="K613" s="12"/>
      <c r="L613" s="12"/>
      <c r="M613" s="12"/>
      <c r="N613" s="12"/>
    </row>
    <row r="614">
      <c r="E614" s="12"/>
      <c r="G614" s="12"/>
      <c r="H614" s="12"/>
      <c r="I614" s="12"/>
      <c r="J614" s="12"/>
      <c r="K614" s="12"/>
      <c r="L614" s="12"/>
      <c r="M614" s="12"/>
      <c r="N614" s="12"/>
    </row>
    <row r="615">
      <c r="E615" s="12"/>
      <c r="G615" s="12"/>
      <c r="H615" s="12"/>
      <c r="I615" s="12"/>
      <c r="J615" s="12"/>
      <c r="K615" s="12"/>
      <c r="L615" s="12"/>
      <c r="M615" s="12"/>
      <c r="N615" s="12"/>
    </row>
    <row r="616">
      <c r="E616" s="12"/>
      <c r="G616" s="12"/>
      <c r="H616" s="12"/>
      <c r="I616" s="12"/>
      <c r="J616" s="12"/>
      <c r="K616" s="12"/>
      <c r="L616" s="12"/>
      <c r="M616" s="12"/>
      <c r="N616" s="12"/>
    </row>
    <row r="617">
      <c r="E617" s="12"/>
      <c r="G617" s="12"/>
      <c r="H617" s="12"/>
      <c r="I617" s="12"/>
      <c r="J617" s="12"/>
      <c r="K617" s="12"/>
      <c r="L617" s="12"/>
      <c r="M617" s="12"/>
      <c r="N617" s="12"/>
    </row>
    <row r="618">
      <c r="E618" s="12"/>
      <c r="G618" s="12"/>
      <c r="H618" s="12"/>
      <c r="I618" s="12"/>
      <c r="J618" s="12"/>
      <c r="K618" s="12"/>
      <c r="L618" s="12"/>
      <c r="M618" s="12"/>
      <c r="N618" s="12"/>
    </row>
    <row r="619">
      <c r="E619" s="12"/>
      <c r="G619" s="12"/>
      <c r="H619" s="12"/>
      <c r="I619" s="12"/>
      <c r="J619" s="12"/>
      <c r="K619" s="12"/>
      <c r="L619" s="12"/>
      <c r="M619" s="12"/>
      <c r="N619" s="12"/>
    </row>
    <row r="620">
      <c r="E620" s="12"/>
      <c r="G620" s="12"/>
      <c r="H620" s="12"/>
      <c r="I620" s="12"/>
      <c r="J620" s="12"/>
      <c r="K620" s="12"/>
      <c r="L620" s="12"/>
      <c r="M620" s="12"/>
      <c r="N620" s="12"/>
    </row>
    <row r="621">
      <c r="E621" s="12"/>
      <c r="G621" s="12"/>
      <c r="H621" s="12"/>
      <c r="I621" s="12"/>
      <c r="J621" s="12"/>
      <c r="K621" s="12"/>
      <c r="L621" s="12"/>
      <c r="M621" s="12"/>
      <c r="N621" s="12"/>
    </row>
    <row r="622">
      <c r="E622" s="12"/>
      <c r="G622" s="12"/>
      <c r="H622" s="12"/>
      <c r="I622" s="12"/>
      <c r="J622" s="12"/>
      <c r="K622" s="12"/>
      <c r="L622" s="12"/>
      <c r="M622" s="12"/>
      <c r="N622" s="12"/>
    </row>
    <row r="623">
      <c r="E623" s="12"/>
      <c r="G623" s="12"/>
      <c r="H623" s="12"/>
      <c r="I623" s="12"/>
      <c r="J623" s="12"/>
      <c r="K623" s="12"/>
      <c r="L623" s="12"/>
      <c r="M623" s="12"/>
      <c r="N623" s="12"/>
    </row>
    <row r="624">
      <c r="E624" s="12"/>
      <c r="G624" s="12"/>
      <c r="H624" s="12"/>
      <c r="I624" s="12"/>
      <c r="J624" s="12"/>
      <c r="K624" s="12"/>
      <c r="L624" s="12"/>
      <c r="M624" s="12"/>
      <c r="N624" s="12"/>
    </row>
    <row r="625">
      <c r="E625" s="12"/>
      <c r="G625" s="12"/>
      <c r="H625" s="12"/>
      <c r="I625" s="12"/>
      <c r="J625" s="12"/>
      <c r="K625" s="12"/>
      <c r="L625" s="12"/>
      <c r="M625" s="12"/>
      <c r="N625" s="12"/>
    </row>
    <row r="626">
      <c r="E626" s="12"/>
      <c r="G626" s="12"/>
      <c r="H626" s="12"/>
      <c r="I626" s="12"/>
      <c r="J626" s="12"/>
      <c r="K626" s="12"/>
      <c r="L626" s="12"/>
      <c r="M626" s="12"/>
      <c r="N626" s="12"/>
    </row>
    <row r="627">
      <c r="E627" s="12"/>
      <c r="G627" s="12"/>
      <c r="H627" s="12"/>
      <c r="I627" s="12"/>
      <c r="J627" s="12"/>
      <c r="K627" s="12"/>
      <c r="L627" s="12"/>
      <c r="M627" s="12"/>
      <c r="N627" s="12"/>
    </row>
    <row r="628">
      <c r="E628" s="12"/>
      <c r="G628" s="12"/>
      <c r="H628" s="12"/>
      <c r="I628" s="12"/>
      <c r="J628" s="12"/>
      <c r="K628" s="12"/>
      <c r="L628" s="12"/>
      <c r="M628" s="12"/>
      <c r="N628" s="12"/>
    </row>
    <row r="629">
      <c r="E629" s="12"/>
      <c r="G629" s="12"/>
      <c r="H629" s="12"/>
      <c r="I629" s="12"/>
      <c r="J629" s="12"/>
      <c r="K629" s="12"/>
      <c r="L629" s="12"/>
      <c r="M629" s="12"/>
      <c r="N629" s="12"/>
    </row>
    <row r="630">
      <c r="E630" s="12"/>
      <c r="G630" s="12"/>
      <c r="H630" s="12"/>
      <c r="I630" s="12"/>
      <c r="J630" s="12"/>
      <c r="K630" s="12"/>
      <c r="L630" s="12"/>
      <c r="M630" s="12"/>
      <c r="N630" s="12"/>
    </row>
    <row r="631">
      <c r="E631" s="12"/>
      <c r="G631" s="12"/>
      <c r="H631" s="12"/>
      <c r="I631" s="12"/>
      <c r="J631" s="12"/>
      <c r="K631" s="12"/>
      <c r="L631" s="12"/>
      <c r="M631" s="12"/>
      <c r="N631" s="12"/>
    </row>
    <row r="632">
      <c r="E632" s="12"/>
      <c r="G632" s="12"/>
      <c r="H632" s="12"/>
      <c r="I632" s="12"/>
      <c r="J632" s="12"/>
      <c r="K632" s="12"/>
      <c r="L632" s="12"/>
      <c r="M632" s="12"/>
      <c r="N632" s="12"/>
    </row>
    <row r="633">
      <c r="E633" s="12"/>
      <c r="G633" s="12"/>
      <c r="H633" s="12"/>
      <c r="I633" s="12"/>
      <c r="J633" s="12"/>
      <c r="K633" s="12"/>
      <c r="L633" s="12"/>
      <c r="M633" s="12"/>
      <c r="N633" s="12"/>
    </row>
    <row r="634">
      <c r="E634" s="12"/>
      <c r="G634" s="12"/>
      <c r="H634" s="12"/>
      <c r="I634" s="12"/>
      <c r="J634" s="12"/>
      <c r="K634" s="12"/>
      <c r="L634" s="12"/>
      <c r="M634" s="12"/>
      <c r="N634" s="12"/>
    </row>
    <row r="635">
      <c r="E635" s="12"/>
      <c r="G635" s="12"/>
      <c r="H635" s="12"/>
      <c r="I635" s="12"/>
      <c r="J635" s="12"/>
      <c r="K635" s="12"/>
      <c r="L635" s="12"/>
      <c r="M635" s="12"/>
      <c r="N635" s="12"/>
    </row>
    <row r="636">
      <c r="E636" s="12"/>
      <c r="G636" s="12"/>
      <c r="H636" s="12"/>
      <c r="I636" s="12"/>
      <c r="J636" s="12"/>
      <c r="K636" s="12"/>
      <c r="L636" s="12"/>
      <c r="M636" s="12"/>
      <c r="N636" s="12"/>
    </row>
    <row r="637">
      <c r="E637" s="12"/>
      <c r="G637" s="12"/>
      <c r="H637" s="12"/>
      <c r="I637" s="12"/>
      <c r="J637" s="12"/>
      <c r="K637" s="12"/>
      <c r="L637" s="12"/>
      <c r="M637" s="12"/>
      <c r="N637" s="12"/>
    </row>
    <row r="638">
      <c r="E638" s="12"/>
      <c r="G638" s="12"/>
      <c r="H638" s="12"/>
      <c r="I638" s="12"/>
      <c r="J638" s="12"/>
      <c r="K638" s="12"/>
      <c r="L638" s="12"/>
      <c r="M638" s="12"/>
      <c r="N638" s="12"/>
    </row>
    <row r="639">
      <c r="E639" s="12"/>
      <c r="G639" s="12"/>
      <c r="H639" s="12"/>
      <c r="I639" s="12"/>
      <c r="J639" s="12"/>
      <c r="K639" s="12"/>
      <c r="L639" s="12"/>
      <c r="M639" s="12"/>
      <c r="N639" s="12"/>
    </row>
    <row r="640">
      <c r="E640" s="12"/>
      <c r="G640" s="12"/>
      <c r="H640" s="12"/>
      <c r="I640" s="12"/>
      <c r="J640" s="12"/>
      <c r="K640" s="12"/>
      <c r="L640" s="12"/>
      <c r="M640" s="12"/>
      <c r="N640" s="12"/>
    </row>
    <row r="641">
      <c r="E641" s="12"/>
      <c r="G641" s="12"/>
      <c r="H641" s="12"/>
      <c r="I641" s="12"/>
      <c r="J641" s="12"/>
      <c r="K641" s="12"/>
      <c r="L641" s="12"/>
      <c r="M641" s="12"/>
      <c r="N641" s="12"/>
    </row>
    <row r="642">
      <c r="E642" s="12"/>
      <c r="G642" s="12"/>
      <c r="H642" s="12"/>
      <c r="I642" s="12"/>
      <c r="J642" s="12"/>
      <c r="K642" s="12"/>
      <c r="L642" s="12"/>
      <c r="M642" s="12"/>
      <c r="N642" s="12"/>
    </row>
    <row r="643">
      <c r="E643" s="12"/>
      <c r="G643" s="12"/>
      <c r="H643" s="12"/>
      <c r="I643" s="12"/>
      <c r="J643" s="12"/>
      <c r="K643" s="12"/>
      <c r="L643" s="12"/>
      <c r="M643" s="12"/>
      <c r="N643" s="12"/>
    </row>
    <row r="644">
      <c r="E644" s="12"/>
      <c r="G644" s="12"/>
      <c r="H644" s="12"/>
      <c r="I644" s="12"/>
      <c r="J644" s="12"/>
      <c r="K644" s="12"/>
      <c r="L644" s="12"/>
      <c r="M644" s="12"/>
      <c r="N644" s="12"/>
    </row>
    <row r="645">
      <c r="E645" s="12"/>
      <c r="G645" s="12"/>
      <c r="H645" s="12"/>
      <c r="I645" s="12"/>
      <c r="J645" s="12"/>
      <c r="K645" s="12"/>
      <c r="L645" s="12"/>
      <c r="M645" s="12"/>
      <c r="N645" s="12"/>
    </row>
    <row r="646">
      <c r="E646" s="12"/>
      <c r="G646" s="12"/>
      <c r="H646" s="12"/>
      <c r="I646" s="12"/>
      <c r="J646" s="12"/>
      <c r="K646" s="12"/>
      <c r="L646" s="12"/>
      <c r="M646" s="12"/>
      <c r="N646" s="12"/>
    </row>
    <row r="647">
      <c r="E647" s="12"/>
      <c r="G647" s="12"/>
      <c r="H647" s="12"/>
      <c r="I647" s="12"/>
      <c r="J647" s="12"/>
      <c r="K647" s="12"/>
      <c r="L647" s="12"/>
      <c r="M647" s="12"/>
      <c r="N647" s="12"/>
    </row>
    <row r="648">
      <c r="E648" s="12"/>
      <c r="G648" s="12"/>
      <c r="H648" s="12"/>
      <c r="I648" s="12"/>
      <c r="J648" s="12"/>
      <c r="K648" s="12"/>
      <c r="L648" s="12"/>
      <c r="M648" s="12"/>
      <c r="N648" s="12"/>
    </row>
    <row r="649">
      <c r="E649" s="12"/>
      <c r="G649" s="12"/>
      <c r="H649" s="12"/>
      <c r="I649" s="12"/>
      <c r="J649" s="12"/>
      <c r="K649" s="12"/>
      <c r="L649" s="12"/>
      <c r="M649" s="12"/>
      <c r="N649" s="12"/>
    </row>
    <row r="650">
      <c r="E650" s="12"/>
      <c r="G650" s="12"/>
      <c r="H650" s="12"/>
      <c r="I650" s="12"/>
      <c r="J650" s="12"/>
      <c r="K650" s="12"/>
      <c r="L650" s="12"/>
      <c r="M650" s="12"/>
      <c r="N650" s="12"/>
    </row>
    <row r="651">
      <c r="E651" s="12"/>
      <c r="G651" s="12"/>
      <c r="H651" s="12"/>
      <c r="I651" s="12"/>
      <c r="J651" s="12"/>
      <c r="K651" s="12"/>
      <c r="L651" s="12"/>
      <c r="M651" s="12"/>
      <c r="N651" s="12"/>
    </row>
    <row r="652">
      <c r="E652" s="12"/>
      <c r="G652" s="12"/>
      <c r="H652" s="12"/>
      <c r="I652" s="12"/>
      <c r="J652" s="12"/>
      <c r="K652" s="12"/>
      <c r="L652" s="12"/>
      <c r="M652" s="12"/>
      <c r="N652" s="12"/>
    </row>
    <row r="653">
      <c r="E653" s="12"/>
      <c r="G653" s="12"/>
      <c r="H653" s="12"/>
      <c r="I653" s="12"/>
      <c r="J653" s="12"/>
      <c r="K653" s="12"/>
      <c r="L653" s="12"/>
      <c r="M653" s="12"/>
      <c r="N653" s="12"/>
    </row>
    <row r="654">
      <c r="E654" s="12"/>
      <c r="G654" s="12"/>
      <c r="H654" s="12"/>
      <c r="I654" s="12"/>
      <c r="J654" s="12"/>
      <c r="K654" s="12"/>
      <c r="L654" s="12"/>
      <c r="M654" s="12"/>
      <c r="N654" s="12"/>
    </row>
    <row r="655">
      <c r="E655" s="12"/>
      <c r="G655" s="12"/>
      <c r="H655" s="12"/>
      <c r="I655" s="12"/>
      <c r="J655" s="12"/>
      <c r="K655" s="12"/>
      <c r="L655" s="12"/>
      <c r="M655" s="12"/>
      <c r="N655" s="12"/>
    </row>
    <row r="656">
      <c r="E656" s="12"/>
      <c r="G656" s="12"/>
      <c r="H656" s="12"/>
      <c r="I656" s="12"/>
      <c r="J656" s="12"/>
      <c r="K656" s="12"/>
      <c r="L656" s="12"/>
      <c r="M656" s="12"/>
      <c r="N656" s="12"/>
    </row>
    <row r="657">
      <c r="E657" s="12"/>
      <c r="G657" s="12"/>
      <c r="H657" s="12"/>
      <c r="I657" s="12"/>
      <c r="J657" s="12"/>
      <c r="K657" s="12"/>
      <c r="L657" s="12"/>
      <c r="M657" s="12"/>
      <c r="N657" s="12"/>
    </row>
    <row r="658">
      <c r="E658" s="12"/>
      <c r="G658" s="12"/>
      <c r="H658" s="12"/>
      <c r="I658" s="12"/>
      <c r="J658" s="12"/>
      <c r="K658" s="12"/>
      <c r="L658" s="12"/>
      <c r="M658" s="12"/>
      <c r="N658" s="12"/>
    </row>
    <row r="659">
      <c r="E659" s="12"/>
      <c r="G659" s="12"/>
      <c r="H659" s="12"/>
      <c r="I659" s="12"/>
      <c r="J659" s="12"/>
      <c r="K659" s="12"/>
      <c r="L659" s="12"/>
      <c r="M659" s="12"/>
      <c r="N659" s="12"/>
    </row>
    <row r="660">
      <c r="E660" s="12"/>
      <c r="G660" s="12"/>
      <c r="H660" s="12"/>
      <c r="I660" s="12"/>
      <c r="J660" s="12"/>
      <c r="K660" s="12"/>
      <c r="L660" s="12"/>
      <c r="M660" s="12"/>
      <c r="N660" s="12"/>
    </row>
    <row r="661">
      <c r="E661" s="12"/>
      <c r="G661" s="12"/>
      <c r="H661" s="12"/>
      <c r="I661" s="12"/>
      <c r="J661" s="12"/>
      <c r="K661" s="12"/>
      <c r="L661" s="12"/>
      <c r="M661" s="12"/>
      <c r="N661" s="12"/>
    </row>
    <row r="662">
      <c r="E662" s="12"/>
      <c r="G662" s="12"/>
      <c r="H662" s="12"/>
      <c r="I662" s="12"/>
      <c r="J662" s="12"/>
      <c r="K662" s="12"/>
      <c r="L662" s="12"/>
      <c r="M662" s="12"/>
      <c r="N662" s="12"/>
    </row>
    <row r="663">
      <c r="E663" s="12"/>
      <c r="G663" s="12"/>
      <c r="H663" s="12"/>
      <c r="I663" s="12"/>
      <c r="J663" s="12"/>
      <c r="K663" s="12"/>
      <c r="L663" s="12"/>
      <c r="M663" s="12"/>
      <c r="N663" s="12"/>
    </row>
    <row r="664">
      <c r="E664" s="12"/>
      <c r="G664" s="12"/>
      <c r="H664" s="12"/>
      <c r="I664" s="12"/>
      <c r="J664" s="12"/>
      <c r="K664" s="12"/>
      <c r="L664" s="12"/>
      <c r="M664" s="12"/>
      <c r="N664" s="12"/>
    </row>
    <row r="665">
      <c r="E665" s="12"/>
      <c r="G665" s="12"/>
      <c r="H665" s="12"/>
      <c r="I665" s="12"/>
      <c r="J665" s="12"/>
      <c r="K665" s="12"/>
      <c r="L665" s="12"/>
      <c r="M665" s="12"/>
      <c r="N665" s="12"/>
    </row>
    <row r="666">
      <c r="E666" s="12"/>
      <c r="G666" s="12"/>
      <c r="H666" s="12"/>
      <c r="I666" s="12"/>
      <c r="J666" s="12"/>
      <c r="K666" s="12"/>
      <c r="L666" s="12"/>
      <c r="M666" s="12"/>
      <c r="N666" s="12"/>
    </row>
    <row r="667">
      <c r="E667" s="12"/>
      <c r="G667" s="12"/>
      <c r="H667" s="12"/>
      <c r="I667" s="12"/>
      <c r="J667" s="12"/>
      <c r="K667" s="12"/>
      <c r="L667" s="12"/>
      <c r="M667" s="12"/>
      <c r="N667" s="12"/>
    </row>
    <row r="668">
      <c r="E668" s="12"/>
      <c r="G668" s="12"/>
      <c r="H668" s="12"/>
      <c r="I668" s="12"/>
      <c r="J668" s="12"/>
      <c r="K668" s="12"/>
      <c r="L668" s="12"/>
      <c r="M668" s="12"/>
      <c r="N668" s="12"/>
    </row>
    <row r="669">
      <c r="E669" s="12"/>
      <c r="G669" s="12"/>
      <c r="H669" s="12"/>
      <c r="I669" s="12"/>
      <c r="J669" s="12"/>
      <c r="K669" s="12"/>
      <c r="L669" s="12"/>
      <c r="M669" s="12"/>
      <c r="N669" s="12"/>
    </row>
    <row r="670">
      <c r="E670" s="12"/>
      <c r="G670" s="12"/>
      <c r="H670" s="12"/>
      <c r="I670" s="12"/>
      <c r="J670" s="12"/>
      <c r="K670" s="12"/>
      <c r="L670" s="12"/>
      <c r="M670" s="12"/>
      <c r="N670" s="12"/>
    </row>
    <row r="671">
      <c r="E671" s="12"/>
      <c r="G671" s="12"/>
      <c r="H671" s="12"/>
      <c r="I671" s="12"/>
      <c r="J671" s="12"/>
      <c r="K671" s="12"/>
      <c r="L671" s="12"/>
      <c r="M671" s="12"/>
      <c r="N671" s="12"/>
    </row>
    <row r="672">
      <c r="E672" s="12"/>
      <c r="G672" s="12"/>
      <c r="H672" s="12"/>
      <c r="I672" s="12"/>
      <c r="J672" s="12"/>
      <c r="K672" s="12"/>
      <c r="L672" s="12"/>
      <c r="M672" s="12"/>
      <c r="N672" s="12"/>
    </row>
    <row r="673">
      <c r="E673" s="12"/>
      <c r="G673" s="12"/>
      <c r="H673" s="12"/>
      <c r="I673" s="12"/>
      <c r="J673" s="12"/>
      <c r="K673" s="12"/>
      <c r="L673" s="12"/>
      <c r="M673" s="12"/>
      <c r="N673" s="12"/>
    </row>
    <row r="674">
      <c r="E674" s="12"/>
      <c r="G674" s="12"/>
      <c r="H674" s="12"/>
      <c r="I674" s="12"/>
      <c r="J674" s="12"/>
      <c r="K674" s="12"/>
      <c r="L674" s="12"/>
      <c r="M674" s="12"/>
      <c r="N674" s="12"/>
    </row>
    <row r="675">
      <c r="E675" s="12"/>
      <c r="G675" s="12"/>
      <c r="H675" s="12"/>
      <c r="I675" s="12"/>
      <c r="J675" s="12"/>
      <c r="K675" s="12"/>
      <c r="L675" s="12"/>
      <c r="M675" s="12"/>
      <c r="N675" s="12"/>
    </row>
    <row r="676">
      <c r="E676" s="12"/>
      <c r="G676" s="12"/>
      <c r="H676" s="12"/>
      <c r="I676" s="12"/>
      <c r="J676" s="12"/>
      <c r="K676" s="12"/>
      <c r="L676" s="12"/>
      <c r="M676" s="12"/>
      <c r="N676" s="12"/>
    </row>
    <row r="677">
      <c r="E677" s="12"/>
      <c r="G677" s="12"/>
      <c r="H677" s="12"/>
      <c r="I677" s="12"/>
      <c r="J677" s="12"/>
      <c r="K677" s="12"/>
      <c r="L677" s="12"/>
      <c r="M677" s="12"/>
      <c r="N677" s="12"/>
    </row>
    <row r="678">
      <c r="E678" s="12"/>
      <c r="G678" s="12"/>
      <c r="H678" s="12"/>
      <c r="I678" s="12"/>
      <c r="J678" s="12"/>
      <c r="K678" s="12"/>
      <c r="L678" s="12"/>
      <c r="M678" s="12"/>
      <c r="N678" s="12"/>
    </row>
    <row r="679">
      <c r="E679" s="12"/>
      <c r="G679" s="12"/>
      <c r="H679" s="12"/>
      <c r="I679" s="12"/>
      <c r="J679" s="12"/>
      <c r="K679" s="12"/>
      <c r="L679" s="12"/>
      <c r="M679" s="12"/>
      <c r="N679" s="12"/>
    </row>
    <row r="680">
      <c r="E680" s="12"/>
      <c r="G680" s="12"/>
      <c r="H680" s="12"/>
      <c r="I680" s="12"/>
      <c r="J680" s="12"/>
      <c r="K680" s="12"/>
      <c r="L680" s="12"/>
      <c r="M680" s="12"/>
      <c r="N680" s="12"/>
    </row>
    <row r="681">
      <c r="E681" s="12"/>
      <c r="G681" s="12"/>
      <c r="H681" s="12"/>
      <c r="I681" s="12"/>
      <c r="J681" s="12"/>
      <c r="K681" s="12"/>
      <c r="L681" s="12"/>
      <c r="M681" s="12"/>
      <c r="N681" s="12"/>
    </row>
    <row r="682">
      <c r="E682" s="12"/>
      <c r="G682" s="12"/>
      <c r="H682" s="12"/>
      <c r="I682" s="12"/>
      <c r="J682" s="12"/>
      <c r="K682" s="12"/>
      <c r="L682" s="12"/>
      <c r="M682" s="12"/>
      <c r="N682" s="12"/>
    </row>
    <row r="683">
      <c r="E683" s="12"/>
      <c r="G683" s="12"/>
      <c r="H683" s="12"/>
      <c r="I683" s="12"/>
      <c r="J683" s="12"/>
      <c r="K683" s="12"/>
      <c r="L683" s="12"/>
      <c r="M683" s="12"/>
      <c r="N683" s="12"/>
    </row>
    <row r="684">
      <c r="E684" s="12"/>
      <c r="G684" s="12"/>
      <c r="H684" s="12"/>
      <c r="I684" s="12"/>
      <c r="J684" s="12"/>
      <c r="K684" s="12"/>
      <c r="L684" s="12"/>
      <c r="M684" s="12"/>
      <c r="N684" s="12"/>
    </row>
    <row r="685">
      <c r="E685" s="12"/>
      <c r="G685" s="12"/>
      <c r="H685" s="12"/>
      <c r="I685" s="12"/>
      <c r="J685" s="12"/>
      <c r="K685" s="12"/>
      <c r="L685" s="12"/>
      <c r="M685" s="12"/>
      <c r="N685" s="12"/>
    </row>
    <row r="686">
      <c r="E686" s="12"/>
      <c r="G686" s="12"/>
      <c r="H686" s="12"/>
      <c r="I686" s="12"/>
      <c r="J686" s="12"/>
      <c r="K686" s="12"/>
      <c r="L686" s="12"/>
      <c r="M686" s="12"/>
      <c r="N686" s="12"/>
    </row>
    <row r="687">
      <c r="E687" s="12"/>
      <c r="G687" s="12"/>
      <c r="H687" s="12"/>
      <c r="I687" s="12"/>
      <c r="J687" s="12"/>
      <c r="K687" s="12"/>
      <c r="L687" s="12"/>
      <c r="M687" s="12"/>
      <c r="N687" s="12"/>
    </row>
    <row r="688">
      <c r="E688" s="12"/>
      <c r="G688" s="12"/>
      <c r="H688" s="12"/>
      <c r="I688" s="12"/>
      <c r="J688" s="12"/>
      <c r="K688" s="12"/>
      <c r="L688" s="12"/>
      <c r="M688" s="12"/>
      <c r="N688" s="12"/>
    </row>
    <row r="689">
      <c r="E689" s="12"/>
      <c r="G689" s="12"/>
      <c r="H689" s="12"/>
      <c r="I689" s="12"/>
      <c r="J689" s="12"/>
      <c r="K689" s="12"/>
      <c r="L689" s="12"/>
      <c r="M689" s="12"/>
      <c r="N689" s="12"/>
    </row>
    <row r="690">
      <c r="E690" s="12"/>
      <c r="G690" s="12"/>
      <c r="H690" s="12"/>
      <c r="I690" s="12"/>
      <c r="J690" s="12"/>
      <c r="K690" s="12"/>
      <c r="L690" s="12"/>
      <c r="M690" s="12"/>
      <c r="N690" s="12"/>
    </row>
    <row r="691">
      <c r="E691" s="12"/>
      <c r="G691" s="12"/>
      <c r="H691" s="12"/>
      <c r="I691" s="12"/>
      <c r="J691" s="12"/>
      <c r="K691" s="12"/>
      <c r="L691" s="12"/>
      <c r="M691" s="12"/>
      <c r="N691" s="12"/>
    </row>
    <row r="692">
      <c r="E692" s="12"/>
      <c r="G692" s="12"/>
      <c r="H692" s="12"/>
      <c r="I692" s="12"/>
      <c r="J692" s="12"/>
      <c r="K692" s="12"/>
      <c r="L692" s="12"/>
      <c r="M692" s="12"/>
      <c r="N692" s="12"/>
    </row>
    <row r="693">
      <c r="E693" s="12"/>
      <c r="G693" s="12"/>
      <c r="H693" s="12"/>
      <c r="I693" s="12"/>
      <c r="J693" s="12"/>
      <c r="K693" s="12"/>
      <c r="L693" s="12"/>
      <c r="M693" s="12"/>
      <c r="N693" s="12"/>
    </row>
    <row r="694">
      <c r="E694" s="12"/>
      <c r="G694" s="12"/>
      <c r="H694" s="12"/>
      <c r="I694" s="12"/>
      <c r="J694" s="12"/>
      <c r="K694" s="12"/>
      <c r="L694" s="12"/>
      <c r="M694" s="12"/>
      <c r="N694" s="12"/>
    </row>
    <row r="695">
      <c r="E695" s="12"/>
      <c r="G695" s="12"/>
      <c r="H695" s="12"/>
      <c r="I695" s="12"/>
      <c r="J695" s="12"/>
      <c r="K695" s="12"/>
      <c r="L695" s="12"/>
      <c r="M695" s="12"/>
      <c r="N695" s="12"/>
    </row>
    <row r="696">
      <c r="E696" s="12"/>
      <c r="G696" s="12"/>
      <c r="H696" s="12"/>
      <c r="I696" s="12"/>
      <c r="J696" s="12"/>
      <c r="K696" s="12"/>
      <c r="L696" s="12"/>
      <c r="M696" s="12"/>
      <c r="N696" s="12"/>
    </row>
    <row r="697">
      <c r="E697" s="12"/>
      <c r="G697" s="12"/>
      <c r="H697" s="12"/>
      <c r="I697" s="12"/>
      <c r="J697" s="12"/>
      <c r="K697" s="12"/>
      <c r="L697" s="12"/>
      <c r="M697" s="12"/>
      <c r="N697" s="12"/>
    </row>
    <row r="698">
      <c r="E698" s="12"/>
      <c r="G698" s="12"/>
      <c r="H698" s="12"/>
      <c r="I698" s="12"/>
      <c r="J698" s="12"/>
      <c r="K698" s="12"/>
      <c r="L698" s="12"/>
      <c r="M698" s="12"/>
      <c r="N698" s="12"/>
    </row>
    <row r="699">
      <c r="E699" s="12"/>
      <c r="G699" s="12"/>
      <c r="H699" s="12"/>
      <c r="I699" s="12"/>
      <c r="J699" s="12"/>
      <c r="K699" s="12"/>
      <c r="L699" s="12"/>
      <c r="M699" s="12"/>
      <c r="N699" s="12"/>
    </row>
    <row r="700">
      <c r="E700" s="12"/>
      <c r="G700" s="12"/>
      <c r="H700" s="12"/>
      <c r="I700" s="12"/>
      <c r="J700" s="12"/>
      <c r="K700" s="12"/>
      <c r="L700" s="12"/>
      <c r="M700" s="12"/>
      <c r="N700" s="12"/>
    </row>
    <row r="701">
      <c r="E701" s="12"/>
      <c r="G701" s="12"/>
      <c r="H701" s="12"/>
      <c r="I701" s="12"/>
      <c r="J701" s="12"/>
      <c r="K701" s="12"/>
      <c r="L701" s="12"/>
      <c r="M701" s="12"/>
      <c r="N701" s="12"/>
    </row>
    <row r="702">
      <c r="E702" s="12"/>
      <c r="G702" s="12"/>
      <c r="H702" s="12"/>
      <c r="I702" s="12"/>
      <c r="J702" s="12"/>
      <c r="K702" s="12"/>
      <c r="L702" s="12"/>
      <c r="M702" s="12"/>
      <c r="N702" s="12"/>
    </row>
    <row r="703">
      <c r="E703" s="12"/>
      <c r="G703" s="12"/>
      <c r="H703" s="12"/>
      <c r="I703" s="12"/>
      <c r="J703" s="12"/>
      <c r="K703" s="12"/>
      <c r="L703" s="12"/>
      <c r="M703" s="12"/>
      <c r="N703" s="12"/>
    </row>
    <row r="704">
      <c r="E704" s="12"/>
      <c r="G704" s="12"/>
      <c r="H704" s="12"/>
      <c r="I704" s="12"/>
      <c r="J704" s="12"/>
      <c r="K704" s="12"/>
      <c r="L704" s="12"/>
      <c r="M704" s="12"/>
      <c r="N704" s="12"/>
    </row>
    <row r="705">
      <c r="E705" s="12"/>
      <c r="G705" s="12"/>
      <c r="H705" s="12"/>
      <c r="I705" s="12"/>
      <c r="J705" s="12"/>
      <c r="K705" s="12"/>
      <c r="L705" s="12"/>
      <c r="M705" s="12"/>
      <c r="N705" s="12"/>
    </row>
    <row r="706">
      <c r="E706" s="12"/>
      <c r="G706" s="12"/>
      <c r="H706" s="12"/>
      <c r="I706" s="12"/>
      <c r="J706" s="12"/>
      <c r="K706" s="12"/>
      <c r="L706" s="12"/>
      <c r="M706" s="12"/>
      <c r="N706" s="12"/>
    </row>
    <row r="707">
      <c r="E707" s="12"/>
      <c r="G707" s="12"/>
      <c r="H707" s="12"/>
      <c r="I707" s="12"/>
      <c r="J707" s="12"/>
      <c r="K707" s="12"/>
      <c r="L707" s="12"/>
      <c r="M707" s="12"/>
      <c r="N707" s="12"/>
    </row>
    <row r="708">
      <c r="E708" s="12"/>
      <c r="G708" s="12"/>
      <c r="H708" s="12"/>
      <c r="I708" s="12"/>
      <c r="J708" s="12"/>
      <c r="K708" s="12"/>
      <c r="L708" s="12"/>
      <c r="M708" s="12"/>
      <c r="N708" s="12"/>
    </row>
    <row r="709">
      <c r="E709" s="12"/>
      <c r="G709" s="12"/>
      <c r="H709" s="12"/>
      <c r="I709" s="12"/>
      <c r="J709" s="12"/>
      <c r="K709" s="12"/>
      <c r="L709" s="12"/>
      <c r="M709" s="12"/>
      <c r="N709" s="12"/>
    </row>
    <row r="710">
      <c r="E710" s="12"/>
      <c r="G710" s="12"/>
      <c r="H710" s="12"/>
      <c r="I710" s="12"/>
      <c r="J710" s="12"/>
      <c r="K710" s="12"/>
      <c r="L710" s="12"/>
      <c r="M710" s="12"/>
      <c r="N710" s="12"/>
    </row>
    <row r="711">
      <c r="E711" s="12"/>
      <c r="G711" s="12"/>
      <c r="H711" s="12"/>
      <c r="I711" s="12"/>
      <c r="J711" s="12"/>
      <c r="K711" s="12"/>
      <c r="L711" s="12"/>
      <c r="M711" s="12"/>
      <c r="N711" s="12"/>
    </row>
    <row r="712">
      <c r="E712" s="12"/>
      <c r="G712" s="12"/>
      <c r="H712" s="12"/>
      <c r="I712" s="12"/>
      <c r="J712" s="12"/>
      <c r="K712" s="12"/>
      <c r="L712" s="12"/>
      <c r="M712" s="12"/>
      <c r="N712" s="12"/>
    </row>
    <row r="713">
      <c r="E713" s="12"/>
      <c r="G713" s="12"/>
      <c r="H713" s="12"/>
      <c r="I713" s="12"/>
      <c r="J713" s="12"/>
      <c r="K713" s="12"/>
      <c r="L713" s="12"/>
      <c r="M713" s="12"/>
      <c r="N713" s="12"/>
    </row>
    <row r="714">
      <c r="E714" s="12"/>
      <c r="G714" s="12"/>
      <c r="H714" s="12"/>
      <c r="I714" s="12"/>
      <c r="J714" s="12"/>
      <c r="K714" s="12"/>
      <c r="L714" s="12"/>
      <c r="M714" s="12"/>
      <c r="N714" s="12"/>
    </row>
    <row r="715">
      <c r="E715" s="12"/>
      <c r="G715" s="12"/>
      <c r="H715" s="12"/>
      <c r="I715" s="12"/>
      <c r="J715" s="12"/>
      <c r="K715" s="12"/>
      <c r="L715" s="12"/>
      <c r="M715" s="12"/>
      <c r="N715" s="12"/>
    </row>
    <row r="716">
      <c r="E716" s="12"/>
      <c r="G716" s="12"/>
      <c r="H716" s="12"/>
      <c r="I716" s="12"/>
      <c r="J716" s="12"/>
      <c r="K716" s="12"/>
      <c r="L716" s="12"/>
      <c r="M716" s="12"/>
      <c r="N716" s="12"/>
    </row>
    <row r="717">
      <c r="E717" s="12"/>
      <c r="G717" s="12"/>
      <c r="H717" s="12"/>
      <c r="I717" s="12"/>
      <c r="J717" s="12"/>
      <c r="K717" s="12"/>
      <c r="L717" s="12"/>
      <c r="M717" s="12"/>
      <c r="N717" s="12"/>
    </row>
    <row r="718">
      <c r="E718" s="12"/>
      <c r="G718" s="12"/>
      <c r="H718" s="12"/>
      <c r="I718" s="12"/>
      <c r="J718" s="12"/>
      <c r="K718" s="12"/>
      <c r="L718" s="12"/>
      <c r="M718" s="12"/>
      <c r="N718" s="12"/>
    </row>
    <row r="719">
      <c r="E719" s="12"/>
      <c r="G719" s="12"/>
      <c r="H719" s="12"/>
      <c r="I719" s="12"/>
      <c r="J719" s="12"/>
      <c r="K719" s="12"/>
      <c r="L719" s="12"/>
      <c r="M719" s="12"/>
      <c r="N719" s="12"/>
    </row>
    <row r="720">
      <c r="E720" s="12"/>
      <c r="G720" s="12"/>
      <c r="H720" s="12"/>
      <c r="I720" s="12"/>
      <c r="J720" s="12"/>
      <c r="K720" s="12"/>
      <c r="L720" s="12"/>
      <c r="M720" s="12"/>
      <c r="N720" s="12"/>
    </row>
    <row r="721">
      <c r="E721" s="12"/>
      <c r="G721" s="12"/>
      <c r="H721" s="12"/>
      <c r="I721" s="12"/>
      <c r="J721" s="12"/>
      <c r="K721" s="12"/>
      <c r="L721" s="12"/>
      <c r="M721" s="12"/>
      <c r="N721" s="12"/>
    </row>
    <row r="722">
      <c r="E722" s="12"/>
      <c r="G722" s="12"/>
      <c r="H722" s="12"/>
      <c r="I722" s="12"/>
      <c r="J722" s="12"/>
      <c r="K722" s="12"/>
      <c r="L722" s="12"/>
      <c r="M722" s="12"/>
      <c r="N722" s="12"/>
    </row>
    <row r="723">
      <c r="E723" s="12"/>
      <c r="G723" s="12"/>
      <c r="H723" s="12"/>
      <c r="I723" s="12"/>
      <c r="J723" s="12"/>
      <c r="K723" s="12"/>
      <c r="L723" s="12"/>
      <c r="M723" s="12"/>
      <c r="N723" s="12"/>
    </row>
    <row r="724">
      <c r="E724" s="12"/>
      <c r="G724" s="12"/>
      <c r="H724" s="12"/>
      <c r="I724" s="12"/>
      <c r="J724" s="12"/>
      <c r="K724" s="12"/>
      <c r="L724" s="12"/>
      <c r="M724" s="12"/>
      <c r="N724" s="12"/>
    </row>
    <row r="725">
      <c r="E725" s="12"/>
      <c r="G725" s="12"/>
      <c r="H725" s="12"/>
      <c r="I725" s="12"/>
      <c r="J725" s="12"/>
      <c r="K725" s="12"/>
      <c r="L725" s="12"/>
      <c r="M725" s="12"/>
      <c r="N725" s="12"/>
    </row>
    <row r="726">
      <c r="E726" s="12"/>
      <c r="G726" s="12"/>
      <c r="H726" s="12"/>
      <c r="I726" s="12"/>
      <c r="J726" s="12"/>
      <c r="K726" s="12"/>
      <c r="L726" s="12"/>
      <c r="M726" s="12"/>
      <c r="N726" s="12"/>
    </row>
    <row r="727">
      <c r="E727" s="12"/>
      <c r="G727" s="12"/>
      <c r="H727" s="12"/>
      <c r="I727" s="12"/>
      <c r="J727" s="12"/>
      <c r="K727" s="12"/>
      <c r="L727" s="12"/>
      <c r="M727" s="12"/>
      <c r="N727" s="12"/>
    </row>
    <row r="728">
      <c r="E728" s="12"/>
      <c r="G728" s="12"/>
      <c r="H728" s="12"/>
      <c r="I728" s="12"/>
      <c r="J728" s="12"/>
      <c r="K728" s="12"/>
      <c r="L728" s="12"/>
      <c r="M728" s="12"/>
      <c r="N728" s="12"/>
    </row>
    <row r="729">
      <c r="E729" s="12"/>
      <c r="G729" s="12"/>
      <c r="H729" s="12"/>
      <c r="I729" s="12"/>
      <c r="J729" s="12"/>
      <c r="K729" s="12"/>
      <c r="L729" s="12"/>
      <c r="M729" s="12"/>
      <c r="N729" s="12"/>
    </row>
    <row r="730">
      <c r="E730" s="12"/>
      <c r="G730" s="12"/>
      <c r="H730" s="12"/>
      <c r="I730" s="12"/>
      <c r="J730" s="12"/>
      <c r="K730" s="12"/>
      <c r="L730" s="12"/>
      <c r="M730" s="12"/>
      <c r="N730" s="12"/>
    </row>
    <row r="731">
      <c r="E731" s="12"/>
      <c r="G731" s="12"/>
      <c r="H731" s="12"/>
      <c r="I731" s="12"/>
      <c r="J731" s="12"/>
      <c r="K731" s="12"/>
      <c r="L731" s="12"/>
      <c r="M731" s="12"/>
      <c r="N731" s="12"/>
    </row>
    <row r="732">
      <c r="E732" s="12"/>
      <c r="G732" s="12"/>
      <c r="H732" s="12"/>
      <c r="I732" s="12"/>
      <c r="J732" s="12"/>
      <c r="K732" s="12"/>
      <c r="L732" s="12"/>
      <c r="M732" s="12"/>
      <c r="N732" s="12"/>
    </row>
    <row r="733">
      <c r="E733" s="12"/>
      <c r="G733" s="12"/>
      <c r="H733" s="12"/>
      <c r="I733" s="12"/>
      <c r="J733" s="12"/>
      <c r="K733" s="12"/>
      <c r="L733" s="12"/>
      <c r="M733" s="12"/>
      <c r="N733" s="12"/>
    </row>
    <row r="734">
      <c r="E734" s="12"/>
      <c r="G734" s="12"/>
      <c r="H734" s="12"/>
      <c r="I734" s="12"/>
      <c r="J734" s="12"/>
      <c r="K734" s="12"/>
      <c r="L734" s="12"/>
      <c r="M734" s="12"/>
      <c r="N734" s="12"/>
    </row>
    <row r="735">
      <c r="E735" s="12"/>
      <c r="G735" s="12"/>
      <c r="H735" s="12"/>
      <c r="I735" s="12"/>
      <c r="J735" s="12"/>
      <c r="K735" s="12"/>
      <c r="L735" s="12"/>
      <c r="M735" s="12"/>
      <c r="N735" s="12"/>
    </row>
    <row r="736">
      <c r="E736" s="12"/>
      <c r="G736" s="12"/>
      <c r="H736" s="12"/>
      <c r="I736" s="12"/>
      <c r="J736" s="12"/>
      <c r="K736" s="12"/>
      <c r="L736" s="12"/>
      <c r="M736" s="12"/>
      <c r="N736" s="12"/>
    </row>
    <row r="737">
      <c r="E737" s="12"/>
      <c r="G737" s="12"/>
      <c r="H737" s="12"/>
      <c r="I737" s="12"/>
      <c r="J737" s="12"/>
      <c r="K737" s="12"/>
      <c r="L737" s="12"/>
      <c r="M737" s="12"/>
      <c r="N737" s="12"/>
    </row>
    <row r="738">
      <c r="E738" s="12"/>
      <c r="G738" s="12"/>
      <c r="H738" s="12"/>
      <c r="I738" s="12"/>
      <c r="J738" s="12"/>
      <c r="K738" s="12"/>
      <c r="L738" s="12"/>
      <c r="M738" s="12"/>
      <c r="N738" s="12"/>
    </row>
    <row r="739">
      <c r="E739" s="12"/>
      <c r="G739" s="12"/>
      <c r="H739" s="12"/>
      <c r="I739" s="12"/>
      <c r="J739" s="12"/>
      <c r="K739" s="12"/>
      <c r="L739" s="12"/>
      <c r="M739" s="12"/>
      <c r="N739" s="12"/>
    </row>
    <row r="740">
      <c r="E740" s="12"/>
      <c r="G740" s="12"/>
      <c r="H740" s="12"/>
      <c r="I740" s="12"/>
      <c r="J740" s="12"/>
      <c r="K740" s="12"/>
      <c r="L740" s="12"/>
      <c r="M740" s="12"/>
      <c r="N740" s="12"/>
    </row>
    <row r="741">
      <c r="E741" s="12"/>
      <c r="G741" s="12"/>
      <c r="H741" s="12"/>
      <c r="I741" s="12"/>
      <c r="J741" s="12"/>
      <c r="K741" s="12"/>
      <c r="L741" s="12"/>
      <c r="M741" s="12"/>
      <c r="N741" s="12"/>
    </row>
    <row r="742">
      <c r="E742" s="12"/>
      <c r="G742" s="12"/>
      <c r="H742" s="12"/>
      <c r="I742" s="12"/>
      <c r="J742" s="12"/>
      <c r="K742" s="12"/>
      <c r="L742" s="12"/>
      <c r="M742" s="12"/>
      <c r="N742" s="12"/>
    </row>
    <row r="743">
      <c r="E743" s="12"/>
      <c r="G743" s="12"/>
      <c r="H743" s="12"/>
      <c r="I743" s="12"/>
      <c r="J743" s="12"/>
      <c r="K743" s="12"/>
      <c r="L743" s="12"/>
      <c r="M743" s="12"/>
      <c r="N743" s="12"/>
    </row>
    <row r="744">
      <c r="E744" s="12"/>
      <c r="G744" s="12"/>
      <c r="H744" s="12"/>
      <c r="I744" s="12"/>
      <c r="J744" s="12"/>
      <c r="K744" s="12"/>
      <c r="L744" s="12"/>
      <c r="M744" s="12"/>
      <c r="N744" s="12"/>
    </row>
    <row r="745">
      <c r="E745" s="12"/>
      <c r="G745" s="12"/>
      <c r="H745" s="12"/>
      <c r="I745" s="12"/>
      <c r="J745" s="12"/>
      <c r="K745" s="12"/>
      <c r="L745" s="12"/>
      <c r="M745" s="12"/>
      <c r="N745" s="12"/>
    </row>
    <row r="746">
      <c r="E746" s="12"/>
      <c r="G746" s="12"/>
      <c r="H746" s="12"/>
      <c r="I746" s="12"/>
      <c r="J746" s="12"/>
      <c r="K746" s="12"/>
      <c r="L746" s="12"/>
      <c r="M746" s="12"/>
      <c r="N746" s="12"/>
    </row>
    <row r="747">
      <c r="E747" s="12"/>
      <c r="G747" s="12"/>
      <c r="H747" s="12"/>
      <c r="I747" s="12"/>
      <c r="J747" s="12"/>
      <c r="K747" s="12"/>
      <c r="L747" s="12"/>
      <c r="M747" s="12"/>
      <c r="N747" s="12"/>
    </row>
    <row r="748">
      <c r="E748" s="12"/>
      <c r="G748" s="12"/>
      <c r="H748" s="12"/>
      <c r="I748" s="12"/>
      <c r="J748" s="12"/>
      <c r="K748" s="12"/>
      <c r="L748" s="12"/>
      <c r="M748" s="12"/>
      <c r="N748" s="12"/>
    </row>
    <row r="749">
      <c r="E749" s="12"/>
      <c r="G749" s="12"/>
      <c r="H749" s="12"/>
      <c r="I749" s="12"/>
      <c r="J749" s="12"/>
      <c r="K749" s="12"/>
      <c r="L749" s="12"/>
      <c r="M749" s="12"/>
      <c r="N749" s="12"/>
    </row>
    <row r="750">
      <c r="E750" s="12"/>
      <c r="G750" s="12"/>
      <c r="H750" s="12"/>
      <c r="I750" s="12"/>
      <c r="J750" s="12"/>
      <c r="K750" s="12"/>
      <c r="L750" s="12"/>
      <c r="M750" s="12"/>
      <c r="N750" s="12"/>
    </row>
    <row r="751">
      <c r="E751" s="12"/>
      <c r="G751" s="12"/>
      <c r="H751" s="12"/>
      <c r="I751" s="12"/>
      <c r="J751" s="12"/>
      <c r="K751" s="12"/>
      <c r="L751" s="12"/>
      <c r="M751" s="12"/>
      <c r="N751" s="12"/>
    </row>
    <row r="752">
      <c r="E752" s="12"/>
      <c r="G752" s="12"/>
      <c r="H752" s="12"/>
      <c r="I752" s="12"/>
      <c r="J752" s="12"/>
      <c r="K752" s="12"/>
      <c r="L752" s="12"/>
      <c r="M752" s="12"/>
      <c r="N752" s="12"/>
    </row>
    <row r="753">
      <c r="E753" s="12"/>
      <c r="G753" s="12"/>
      <c r="H753" s="12"/>
      <c r="I753" s="12"/>
      <c r="J753" s="12"/>
      <c r="K753" s="12"/>
      <c r="L753" s="12"/>
      <c r="M753" s="12"/>
      <c r="N753" s="12"/>
    </row>
    <row r="754">
      <c r="E754" s="12"/>
      <c r="G754" s="12"/>
      <c r="H754" s="12"/>
      <c r="I754" s="12"/>
      <c r="J754" s="12"/>
      <c r="K754" s="12"/>
      <c r="L754" s="12"/>
      <c r="M754" s="12"/>
      <c r="N754" s="12"/>
    </row>
    <row r="755">
      <c r="E755" s="12"/>
      <c r="G755" s="12"/>
      <c r="H755" s="12"/>
      <c r="I755" s="12"/>
      <c r="J755" s="12"/>
      <c r="K755" s="12"/>
      <c r="L755" s="12"/>
      <c r="M755" s="12"/>
      <c r="N755" s="12"/>
    </row>
    <row r="756">
      <c r="E756" s="12"/>
      <c r="G756" s="12"/>
      <c r="H756" s="12"/>
      <c r="I756" s="12"/>
      <c r="J756" s="12"/>
      <c r="K756" s="12"/>
      <c r="L756" s="12"/>
      <c r="M756" s="12"/>
      <c r="N756" s="12"/>
    </row>
    <row r="757">
      <c r="E757" s="12"/>
      <c r="G757" s="12"/>
      <c r="H757" s="12"/>
      <c r="I757" s="12"/>
      <c r="J757" s="12"/>
      <c r="K757" s="12"/>
      <c r="L757" s="12"/>
      <c r="M757" s="12"/>
      <c r="N757" s="12"/>
    </row>
    <row r="758">
      <c r="E758" s="12"/>
      <c r="G758" s="12"/>
      <c r="H758" s="12"/>
      <c r="I758" s="12"/>
      <c r="J758" s="12"/>
      <c r="K758" s="12"/>
      <c r="L758" s="12"/>
      <c r="M758" s="12"/>
      <c r="N758" s="12"/>
    </row>
    <row r="759">
      <c r="E759" s="12"/>
      <c r="G759" s="12"/>
      <c r="H759" s="12"/>
      <c r="I759" s="12"/>
      <c r="J759" s="12"/>
      <c r="K759" s="12"/>
      <c r="L759" s="12"/>
      <c r="M759" s="12"/>
      <c r="N759" s="12"/>
    </row>
    <row r="760">
      <c r="E760" s="12"/>
      <c r="G760" s="12"/>
      <c r="H760" s="12"/>
      <c r="I760" s="12"/>
      <c r="J760" s="12"/>
      <c r="K760" s="12"/>
      <c r="L760" s="12"/>
      <c r="M760" s="12"/>
      <c r="N760" s="12"/>
    </row>
    <row r="761">
      <c r="E761" s="12"/>
      <c r="G761" s="12"/>
      <c r="H761" s="12"/>
      <c r="I761" s="12"/>
      <c r="J761" s="12"/>
      <c r="K761" s="12"/>
      <c r="L761" s="12"/>
      <c r="M761" s="12"/>
      <c r="N761" s="12"/>
    </row>
    <row r="762">
      <c r="E762" s="12"/>
      <c r="G762" s="12"/>
      <c r="H762" s="12"/>
      <c r="I762" s="12"/>
      <c r="J762" s="12"/>
      <c r="K762" s="12"/>
      <c r="L762" s="12"/>
      <c r="M762" s="12"/>
      <c r="N762" s="12"/>
    </row>
    <row r="763">
      <c r="E763" s="12"/>
      <c r="G763" s="12"/>
      <c r="H763" s="12"/>
      <c r="I763" s="12"/>
      <c r="J763" s="12"/>
      <c r="K763" s="12"/>
      <c r="L763" s="12"/>
      <c r="M763" s="12"/>
      <c r="N763" s="12"/>
    </row>
    <row r="764">
      <c r="E764" s="12"/>
      <c r="G764" s="12"/>
      <c r="H764" s="12"/>
      <c r="I764" s="12"/>
      <c r="J764" s="12"/>
      <c r="K764" s="12"/>
      <c r="L764" s="12"/>
      <c r="M764" s="12"/>
      <c r="N764" s="12"/>
    </row>
    <row r="765">
      <c r="E765" s="12"/>
      <c r="G765" s="12"/>
      <c r="H765" s="12"/>
      <c r="I765" s="12"/>
      <c r="J765" s="12"/>
      <c r="K765" s="12"/>
      <c r="L765" s="12"/>
      <c r="M765" s="12"/>
      <c r="N765" s="12"/>
    </row>
    <row r="766">
      <c r="E766" s="12"/>
      <c r="G766" s="12"/>
      <c r="H766" s="12"/>
      <c r="I766" s="12"/>
      <c r="J766" s="12"/>
      <c r="K766" s="12"/>
      <c r="L766" s="12"/>
      <c r="M766" s="12"/>
      <c r="N766" s="12"/>
    </row>
    <row r="767">
      <c r="E767" s="12"/>
      <c r="G767" s="12"/>
      <c r="H767" s="12"/>
      <c r="I767" s="12"/>
      <c r="J767" s="12"/>
      <c r="K767" s="12"/>
      <c r="L767" s="12"/>
      <c r="M767" s="12"/>
      <c r="N767" s="12"/>
    </row>
    <row r="768">
      <c r="E768" s="12"/>
      <c r="G768" s="12"/>
      <c r="H768" s="12"/>
      <c r="I768" s="12"/>
      <c r="J768" s="12"/>
      <c r="K768" s="12"/>
      <c r="L768" s="12"/>
      <c r="M768" s="12"/>
      <c r="N768" s="12"/>
    </row>
    <row r="769">
      <c r="E769" s="12"/>
      <c r="G769" s="12"/>
      <c r="H769" s="12"/>
      <c r="I769" s="12"/>
      <c r="J769" s="12"/>
      <c r="K769" s="12"/>
      <c r="L769" s="12"/>
      <c r="M769" s="12"/>
      <c r="N769" s="12"/>
    </row>
    <row r="770">
      <c r="E770" s="12"/>
      <c r="G770" s="12"/>
      <c r="H770" s="12"/>
      <c r="I770" s="12"/>
      <c r="J770" s="12"/>
      <c r="K770" s="12"/>
      <c r="L770" s="12"/>
      <c r="M770" s="12"/>
      <c r="N770" s="12"/>
    </row>
    <row r="771">
      <c r="E771" s="12"/>
      <c r="G771" s="12"/>
      <c r="H771" s="12"/>
      <c r="I771" s="12"/>
      <c r="J771" s="12"/>
      <c r="K771" s="12"/>
      <c r="L771" s="12"/>
      <c r="M771" s="12"/>
      <c r="N771" s="12"/>
    </row>
    <row r="772">
      <c r="E772" s="12"/>
      <c r="G772" s="12"/>
      <c r="H772" s="12"/>
      <c r="I772" s="12"/>
      <c r="J772" s="12"/>
      <c r="K772" s="12"/>
      <c r="L772" s="12"/>
      <c r="M772" s="12"/>
      <c r="N772" s="12"/>
    </row>
    <row r="773">
      <c r="E773" s="12"/>
      <c r="G773" s="12"/>
      <c r="H773" s="12"/>
      <c r="I773" s="12"/>
      <c r="J773" s="12"/>
      <c r="K773" s="12"/>
      <c r="L773" s="12"/>
      <c r="M773" s="12"/>
      <c r="N773" s="12"/>
    </row>
    <row r="774">
      <c r="E774" s="12"/>
      <c r="G774" s="12"/>
      <c r="H774" s="12"/>
      <c r="I774" s="12"/>
      <c r="J774" s="12"/>
      <c r="K774" s="12"/>
      <c r="L774" s="12"/>
      <c r="M774" s="12"/>
      <c r="N774" s="12"/>
    </row>
    <row r="775">
      <c r="E775" s="12"/>
      <c r="G775" s="12"/>
      <c r="H775" s="12"/>
      <c r="I775" s="12"/>
      <c r="J775" s="12"/>
      <c r="K775" s="12"/>
      <c r="L775" s="12"/>
      <c r="M775" s="12"/>
      <c r="N775" s="12"/>
    </row>
    <row r="776">
      <c r="E776" s="12"/>
      <c r="G776" s="12"/>
      <c r="H776" s="12"/>
      <c r="I776" s="12"/>
      <c r="J776" s="12"/>
      <c r="K776" s="12"/>
      <c r="L776" s="12"/>
      <c r="M776" s="12"/>
      <c r="N776" s="12"/>
    </row>
    <row r="777">
      <c r="E777" s="12"/>
      <c r="G777" s="12"/>
      <c r="H777" s="12"/>
      <c r="I777" s="12"/>
      <c r="J777" s="12"/>
      <c r="K777" s="12"/>
      <c r="L777" s="12"/>
      <c r="M777" s="12"/>
      <c r="N777" s="12"/>
    </row>
    <row r="778">
      <c r="E778" s="12"/>
      <c r="G778" s="12"/>
      <c r="H778" s="12"/>
      <c r="I778" s="12"/>
      <c r="J778" s="12"/>
      <c r="K778" s="12"/>
      <c r="L778" s="12"/>
      <c r="M778" s="12"/>
      <c r="N778" s="12"/>
    </row>
    <row r="779">
      <c r="E779" s="12"/>
      <c r="G779" s="12"/>
      <c r="H779" s="12"/>
      <c r="I779" s="12"/>
      <c r="J779" s="12"/>
      <c r="K779" s="12"/>
      <c r="L779" s="12"/>
      <c r="M779" s="12"/>
      <c r="N779" s="12"/>
    </row>
    <row r="780">
      <c r="E780" s="12"/>
      <c r="G780" s="12"/>
      <c r="H780" s="12"/>
      <c r="I780" s="12"/>
      <c r="J780" s="12"/>
      <c r="K780" s="12"/>
      <c r="L780" s="12"/>
      <c r="M780" s="12"/>
      <c r="N780" s="12"/>
    </row>
    <row r="781">
      <c r="E781" s="12"/>
      <c r="G781" s="12"/>
      <c r="H781" s="12"/>
      <c r="I781" s="12"/>
      <c r="J781" s="12"/>
      <c r="K781" s="12"/>
      <c r="L781" s="12"/>
      <c r="M781" s="12"/>
      <c r="N781" s="12"/>
    </row>
    <row r="782">
      <c r="E782" s="12"/>
      <c r="G782" s="12"/>
      <c r="H782" s="12"/>
      <c r="I782" s="12"/>
      <c r="J782" s="12"/>
      <c r="K782" s="12"/>
      <c r="L782" s="12"/>
      <c r="M782" s="12"/>
      <c r="N782" s="12"/>
    </row>
    <row r="783">
      <c r="E783" s="12"/>
      <c r="G783" s="12"/>
      <c r="H783" s="12"/>
      <c r="I783" s="12"/>
      <c r="J783" s="12"/>
      <c r="K783" s="12"/>
      <c r="L783" s="12"/>
      <c r="M783" s="12"/>
      <c r="N783" s="12"/>
    </row>
    <row r="784">
      <c r="E784" s="12"/>
      <c r="G784" s="12"/>
      <c r="H784" s="12"/>
      <c r="I784" s="12"/>
      <c r="J784" s="12"/>
      <c r="K784" s="12"/>
      <c r="L784" s="12"/>
      <c r="M784" s="12"/>
      <c r="N784" s="12"/>
    </row>
    <row r="785">
      <c r="E785" s="12"/>
      <c r="G785" s="12"/>
      <c r="H785" s="12"/>
      <c r="I785" s="12"/>
      <c r="J785" s="12"/>
      <c r="K785" s="12"/>
      <c r="L785" s="12"/>
      <c r="M785" s="12"/>
      <c r="N785" s="12"/>
    </row>
    <row r="786">
      <c r="E786" s="12"/>
      <c r="G786" s="12"/>
      <c r="H786" s="12"/>
      <c r="I786" s="12"/>
      <c r="J786" s="12"/>
      <c r="K786" s="12"/>
      <c r="L786" s="12"/>
      <c r="M786" s="12"/>
      <c r="N786" s="12"/>
    </row>
    <row r="787">
      <c r="E787" s="12"/>
      <c r="G787" s="12"/>
      <c r="H787" s="12"/>
      <c r="I787" s="12"/>
      <c r="J787" s="12"/>
      <c r="K787" s="12"/>
      <c r="L787" s="12"/>
      <c r="M787" s="12"/>
      <c r="N787" s="12"/>
    </row>
    <row r="788">
      <c r="E788" s="12"/>
      <c r="G788" s="12"/>
      <c r="H788" s="12"/>
      <c r="I788" s="12"/>
      <c r="J788" s="12"/>
      <c r="K788" s="12"/>
      <c r="L788" s="12"/>
      <c r="M788" s="12"/>
      <c r="N788" s="12"/>
    </row>
    <row r="789">
      <c r="E789" s="12"/>
      <c r="G789" s="12"/>
      <c r="H789" s="12"/>
      <c r="I789" s="12"/>
      <c r="J789" s="12"/>
      <c r="K789" s="12"/>
      <c r="L789" s="12"/>
      <c r="M789" s="12"/>
      <c r="N789" s="12"/>
    </row>
    <row r="790">
      <c r="E790" s="12"/>
      <c r="G790" s="12"/>
      <c r="H790" s="12"/>
      <c r="I790" s="12"/>
      <c r="J790" s="12"/>
      <c r="K790" s="12"/>
      <c r="L790" s="12"/>
      <c r="M790" s="12"/>
      <c r="N790" s="12"/>
    </row>
    <row r="791">
      <c r="E791" s="12"/>
      <c r="G791" s="12"/>
      <c r="H791" s="12"/>
      <c r="I791" s="12"/>
      <c r="J791" s="12"/>
      <c r="K791" s="12"/>
      <c r="L791" s="12"/>
      <c r="M791" s="12"/>
      <c r="N791" s="12"/>
    </row>
    <row r="792">
      <c r="E792" s="12"/>
      <c r="G792" s="12"/>
      <c r="H792" s="12"/>
      <c r="I792" s="12"/>
      <c r="J792" s="12"/>
      <c r="K792" s="12"/>
      <c r="L792" s="12"/>
      <c r="M792" s="12"/>
      <c r="N792" s="12"/>
    </row>
    <row r="793">
      <c r="E793" s="12"/>
      <c r="G793" s="12"/>
      <c r="H793" s="12"/>
      <c r="I793" s="12"/>
      <c r="J793" s="12"/>
      <c r="K793" s="12"/>
      <c r="L793" s="12"/>
      <c r="M793" s="12"/>
      <c r="N793" s="12"/>
    </row>
    <row r="794">
      <c r="E794" s="12"/>
      <c r="G794" s="12"/>
      <c r="H794" s="12"/>
      <c r="I794" s="12"/>
      <c r="J794" s="12"/>
      <c r="K794" s="12"/>
      <c r="L794" s="12"/>
      <c r="M794" s="12"/>
      <c r="N794" s="12"/>
    </row>
    <row r="795">
      <c r="E795" s="12"/>
      <c r="G795" s="12"/>
      <c r="H795" s="12"/>
      <c r="I795" s="12"/>
      <c r="J795" s="12"/>
      <c r="K795" s="12"/>
      <c r="L795" s="12"/>
      <c r="M795" s="12"/>
      <c r="N795" s="12"/>
    </row>
    <row r="796">
      <c r="E796" s="12"/>
      <c r="G796" s="12"/>
      <c r="H796" s="12"/>
      <c r="I796" s="12"/>
      <c r="J796" s="12"/>
      <c r="K796" s="12"/>
      <c r="L796" s="12"/>
      <c r="M796" s="12"/>
      <c r="N796" s="12"/>
    </row>
    <row r="797">
      <c r="E797" s="12"/>
      <c r="G797" s="12"/>
      <c r="H797" s="12"/>
      <c r="I797" s="12"/>
      <c r="J797" s="12"/>
      <c r="K797" s="12"/>
      <c r="L797" s="12"/>
      <c r="M797" s="12"/>
      <c r="N797" s="12"/>
    </row>
    <row r="798">
      <c r="E798" s="12"/>
      <c r="G798" s="12"/>
      <c r="H798" s="12"/>
      <c r="I798" s="12"/>
      <c r="J798" s="12"/>
      <c r="K798" s="12"/>
      <c r="L798" s="12"/>
      <c r="M798" s="12"/>
      <c r="N798" s="12"/>
    </row>
    <row r="799">
      <c r="E799" s="12"/>
      <c r="G799" s="12"/>
      <c r="H799" s="12"/>
      <c r="I799" s="12"/>
      <c r="J799" s="12"/>
      <c r="K799" s="12"/>
      <c r="L799" s="12"/>
      <c r="M799" s="12"/>
      <c r="N799" s="12"/>
    </row>
    <row r="800">
      <c r="E800" s="12"/>
      <c r="G800" s="12"/>
      <c r="H800" s="12"/>
      <c r="I800" s="12"/>
      <c r="J800" s="12"/>
      <c r="K800" s="12"/>
      <c r="L800" s="12"/>
      <c r="M800" s="12"/>
      <c r="N800" s="12"/>
    </row>
    <row r="801">
      <c r="E801" s="12"/>
      <c r="G801" s="12"/>
      <c r="H801" s="12"/>
      <c r="I801" s="12"/>
      <c r="J801" s="12"/>
      <c r="K801" s="12"/>
      <c r="L801" s="12"/>
      <c r="M801" s="12"/>
      <c r="N801" s="12"/>
    </row>
    <row r="802">
      <c r="E802" s="12"/>
      <c r="G802" s="12"/>
      <c r="H802" s="12"/>
      <c r="I802" s="12"/>
      <c r="J802" s="12"/>
      <c r="K802" s="12"/>
      <c r="L802" s="12"/>
      <c r="M802" s="12"/>
      <c r="N802" s="12"/>
    </row>
    <row r="803">
      <c r="E803" s="12"/>
      <c r="G803" s="12"/>
      <c r="H803" s="12"/>
      <c r="I803" s="12"/>
      <c r="J803" s="12"/>
      <c r="K803" s="12"/>
      <c r="L803" s="12"/>
      <c r="M803" s="12"/>
      <c r="N803" s="12"/>
    </row>
    <row r="804">
      <c r="E804" s="12"/>
      <c r="G804" s="12"/>
      <c r="H804" s="12"/>
      <c r="I804" s="12"/>
      <c r="J804" s="12"/>
      <c r="K804" s="12"/>
      <c r="L804" s="12"/>
      <c r="M804" s="12"/>
      <c r="N804" s="12"/>
    </row>
    <row r="805">
      <c r="E805" s="12"/>
      <c r="G805" s="12"/>
      <c r="H805" s="12"/>
      <c r="I805" s="12"/>
      <c r="J805" s="12"/>
      <c r="K805" s="12"/>
      <c r="L805" s="12"/>
      <c r="M805" s="12"/>
      <c r="N805" s="12"/>
    </row>
    <row r="806">
      <c r="E806" s="12"/>
      <c r="G806" s="12"/>
      <c r="H806" s="12"/>
      <c r="I806" s="12"/>
      <c r="J806" s="12"/>
      <c r="K806" s="12"/>
      <c r="L806" s="12"/>
      <c r="M806" s="12"/>
      <c r="N806" s="12"/>
    </row>
    <row r="807">
      <c r="E807" s="12"/>
      <c r="G807" s="12"/>
      <c r="H807" s="12"/>
      <c r="I807" s="12"/>
      <c r="J807" s="12"/>
      <c r="K807" s="12"/>
      <c r="L807" s="12"/>
      <c r="M807" s="12"/>
      <c r="N807" s="12"/>
    </row>
    <row r="808">
      <c r="E808" s="12"/>
      <c r="G808" s="12"/>
      <c r="H808" s="12"/>
      <c r="I808" s="12"/>
      <c r="J808" s="12"/>
      <c r="K808" s="12"/>
      <c r="L808" s="12"/>
      <c r="M808" s="12"/>
      <c r="N808" s="12"/>
    </row>
    <row r="809">
      <c r="E809" s="12"/>
      <c r="G809" s="12"/>
      <c r="H809" s="12"/>
      <c r="I809" s="12"/>
      <c r="J809" s="12"/>
      <c r="K809" s="12"/>
      <c r="L809" s="12"/>
      <c r="M809" s="12"/>
      <c r="N809" s="12"/>
    </row>
    <row r="810">
      <c r="E810" s="12"/>
      <c r="G810" s="12"/>
      <c r="H810" s="12"/>
      <c r="I810" s="12"/>
      <c r="J810" s="12"/>
      <c r="K810" s="12"/>
      <c r="L810" s="12"/>
      <c r="M810" s="12"/>
      <c r="N810" s="12"/>
    </row>
    <row r="811">
      <c r="E811" s="12"/>
      <c r="G811" s="12"/>
      <c r="H811" s="12"/>
      <c r="I811" s="12"/>
      <c r="J811" s="12"/>
      <c r="K811" s="12"/>
      <c r="L811" s="12"/>
      <c r="M811" s="12"/>
      <c r="N811" s="12"/>
    </row>
    <row r="812">
      <c r="E812" s="12"/>
      <c r="G812" s="12"/>
      <c r="H812" s="12"/>
      <c r="I812" s="12"/>
      <c r="J812" s="12"/>
      <c r="K812" s="12"/>
      <c r="L812" s="12"/>
      <c r="M812" s="12"/>
      <c r="N812" s="12"/>
    </row>
    <row r="813">
      <c r="E813" s="12"/>
      <c r="G813" s="12"/>
      <c r="H813" s="12"/>
      <c r="I813" s="12"/>
      <c r="J813" s="12"/>
      <c r="K813" s="12"/>
      <c r="L813" s="12"/>
      <c r="M813" s="12"/>
      <c r="N813" s="12"/>
    </row>
    <row r="814">
      <c r="E814" s="12"/>
      <c r="G814" s="12"/>
      <c r="H814" s="12"/>
      <c r="I814" s="12"/>
      <c r="J814" s="12"/>
      <c r="K814" s="12"/>
      <c r="L814" s="12"/>
      <c r="M814" s="12"/>
      <c r="N814" s="12"/>
    </row>
    <row r="815">
      <c r="E815" s="12"/>
      <c r="G815" s="12"/>
      <c r="H815" s="12"/>
      <c r="I815" s="12"/>
      <c r="J815" s="12"/>
      <c r="K815" s="12"/>
      <c r="L815" s="12"/>
      <c r="M815" s="12"/>
      <c r="N815" s="12"/>
    </row>
    <row r="816">
      <c r="E816" s="12"/>
      <c r="G816" s="12"/>
      <c r="H816" s="12"/>
      <c r="I816" s="12"/>
      <c r="J816" s="12"/>
      <c r="K816" s="12"/>
      <c r="L816" s="12"/>
      <c r="M816" s="12"/>
      <c r="N816" s="12"/>
    </row>
    <row r="817">
      <c r="E817" s="12"/>
      <c r="G817" s="12"/>
      <c r="H817" s="12"/>
      <c r="I817" s="12"/>
      <c r="J817" s="12"/>
      <c r="K817" s="12"/>
      <c r="L817" s="12"/>
      <c r="M817" s="12"/>
      <c r="N817" s="12"/>
    </row>
    <row r="818">
      <c r="E818" s="12"/>
      <c r="G818" s="12"/>
      <c r="H818" s="12"/>
      <c r="I818" s="12"/>
      <c r="J818" s="12"/>
      <c r="K818" s="12"/>
      <c r="L818" s="12"/>
      <c r="M818" s="12"/>
      <c r="N818" s="12"/>
    </row>
    <row r="819">
      <c r="E819" s="12"/>
      <c r="G819" s="12"/>
      <c r="H819" s="12"/>
      <c r="I819" s="12"/>
      <c r="J819" s="12"/>
      <c r="K819" s="12"/>
      <c r="L819" s="12"/>
      <c r="M819" s="12"/>
      <c r="N819" s="12"/>
    </row>
    <row r="820">
      <c r="E820" s="12"/>
      <c r="G820" s="12"/>
      <c r="H820" s="12"/>
      <c r="I820" s="12"/>
      <c r="J820" s="12"/>
      <c r="K820" s="12"/>
      <c r="L820" s="12"/>
      <c r="M820" s="12"/>
      <c r="N820" s="12"/>
    </row>
    <row r="821">
      <c r="E821" s="12"/>
      <c r="G821" s="12"/>
      <c r="H821" s="12"/>
      <c r="I821" s="12"/>
      <c r="J821" s="12"/>
      <c r="K821" s="12"/>
      <c r="L821" s="12"/>
      <c r="M821" s="12"/>
      <c r="N821" s="12"/>
    </row>
    <row r="822">
      <c r="E822" s="12"/>
      <c r="G822" s="12"/>
      <c r="H822" s="12"/>
      <c r="I822" s="12"/>
      <c r="J822" s="12"/>
      <c r="K822" s="12"/>
      <c r="L822" s="12"/>
      <c r="M822" s="12"/>
      <c r="N822" s="12"/>
    </row>
    <row r="823">
      <c r="E823" s="12"/>
      <c r="G823" s="12"/>
      <c r="H823" s="12"/>
      <c r="I823" s="12"/>
      <c r="J823" s="12"/>
      <c r="K823" s="12"/>
      <c r="L823" s="12"/>
      <c r="M823" s="12"/>
      <c r="N823" s="12"/>
    </row>
    <row r="824">
      <c r="E824" s="12"/>
      <c r="G824" s="12"/>
      <c r="H824" s="12"/>
      <c r="I824" s="12"/>
      <c r="J824" s="12"/>
      <c r="K824" s="12"/>
      <c r="L824" s="12"/>
      <c r="M824" s="12"/>
      <c r="N824" s="12"/>
    </row>
    <row r="825">
      <c r="E825" s="12"/>
      <c r="G825" s="12"/>
      <c r="H825" s="12"/>
      <c r="I825" s="12"/>
      <c r="J825" s="12"/>
      <c r="K825" s="12"/>
      <c r="L825" s="12"/>
      <c r="M825" s="12"/>
      <c r="N825" s="12"/>
    </row>
    <row r="826">
      <c r="E826" s="12"/>
      <c r="G826" s="12"/>
      <c r="H826" s="12"/>
      <c r="I826" s="12"/>
      <c r="J826" s="12"/>
      <c r="K826" s="12"/>
      <c r="L826" s="12"/>
      <c r="M826" s="12"/>
      <c r="N826" s="12"/>
    </row>
    <row r="827">
      <c r="E827" s="12"/>
      <c r="G827" s="12"/>
      <c r="H827" s="12"/>
      <c r="I827" s="12"/>
      <c r="J827" s="12"/>
      <c r="K827" s="12"/>
      <c r="L827" s="12"/>
      <c r="M827" s="12"/>
      <c r="N827" s="12"/>
    </row>
    <row r="828">
      <c r="E828" s="12"/>
      <c r="G828" s="12"/>
      <c r="H828" s="12"/>
      <c r="I828" s="12"/>
      <c r="J828" s="12"/>
      <c r="K828" s="12"/>
      <c r="L828" s="12"/>
      <c r="M828" s="12"/>
      <c r="N828" s="12"/>
    </row>
    <row r="829">
      <c r="E829" s="12"/>
      <c r="G829" s="12"/>
      <c r="H829" s="12"/>
      <c r="I829" s="12"/>
      <c r="J829" s="12"/>
      <c r="K829" s="12"/>
      <c r="L829" s="12"/>
      <c r="M829" s="12"/>
      <c r="N829" s="12"/>
    </row>
    <row r="830">
      <c r="E830" s="12"/>
      <c r="G830" s="12"/>
      <c r="H830" s="12"/>
      <c r="I830" s="12"/>
      <c r="J830" s="12"/>
      <c r="K830" s="12"/>
      <c r="L830" s="12"/>
      <c r="M830" s="12"/>
      <c r="N830" s="12"/>
    </row>
    <row r="831">
      <c r="E831" s="12"/>
      <c r="G831" s="12"/>
      <c r="H831" s="12"/>
      <c r="I831" s="12"/>
      <c r="J831" s="12"/>
      <c r="K831" s="12"/>
      <c r="L831" s="12"/>
      <c r="M831" s="12"/>
      <c r="N831" s="12"/>
    </row>
    <row r="832">
      <c r="E832" s="12"/>
      <c r="G832" s="12"/>
      <c r="H832" s="12"/>
      <c r="I832" s="12"/>
      <c r="J832" s="12"/>
      <c r="K832" s="12"/>
      <c r="L832" s="12"/>
      <c r="M832" s="12"/>
      <c r="N832" s="12"/>
    </row>
    <row r="833">
      <c r="E833" s="12"/>
      <c r="G833" s="12"/>
      <c r="H833" s="12"/>
      <c r="I833" s="12"/>
      <c r="J833" s="12"/>
      <c r="K833" s="12"/>
      <c r="L833" s="12"/>
      <c r="M833" s="12"/>
      <c r="N833" s="12"/>
    </row>
    <row r="834">
      <c r="E834" s="12"/>
      <c r="G834" s="12"/>
      <c r="H834" s="12"/>
      <c r="I834" s="12"/>
      <c r="J834" s="12"/>
      <c r="K834" s="12"/>
      <c r="L834" s="12"/>
      <c r="M834" s="12"/>
      <c r="N834" s="12"/>
    </row>
    <row r="835">
      <c r="E835" s="12"/>
      <c r="G835" s="12"/>
      <c r="H835" s="12"/>
      <c r="I835" s="12"/>
      <c r="J835" s="12"/>
      <c r="K835" s="12"/>
      <c r="L835" s="12"/>
      <c r="M835" s="12"/>
      <c r="N835" s="12"/>
    </row>
    <row r="836">
      <c r="E836" s="12"/>
      <c r="G836" s="12"/>
      <c r="H836" s="12"/>
      <c r="I836" s="12"/>
      <c r="J836" s="12"/>
      <c r="K836" s="12"/>
      <c r="L836" s="12"/>
      <c r="M836" s="12"/>
      <c r="N836" s="12"/>
    </row>
    <row r="837">
      <c r="E837" s="12"/>
      <c r="G837" s="12"/>
      <c r="H837" s="12"/>
      <c r="I837" s="12"/>
      <c r="J837" s="12"/>
      <c r="K837" s="12"/>
      <c r="L837" s="12"/>
      <c r="M837" s="12"/>
      <c r="N837" s="12"/>
    </row>
    <row r="838">
      <c r="E838" s="12"/>
      <c r="G838" s="12"/>
      <c r="H838" s="12"/>
      <c r="I838" s="12"/>
      <c r="J838" s="12"/>
      <c r="K838" s="12"/>
      <c r="L838" s="12"/>
      <c r="M838" s="12"/>
      <c r="N838" s="12"/>
    </row>
    <row r="839">
      <c r="E839" s="12"/>
      <c r="G839" s="12"/>
      <c r="H839" s="12"/>
      <c r="I839" s="12"/>
      <c r="J839" s="12"/>
      <c r="K839" s="12"/>
      <c r="L839" s="12"/>
      <c r="M839" s="12"/>
      <c r="N839" s="12"/>
    </row>
    <row r="840">
      <c r="E840" s="12"/>
      <c r="G840" s="12"/>
      <c r="H840" s="12"/>
      <c r="I840" s="12"/>
      <c r="J840" s="12"/>
      <c r="K840" s="12"/>
      <c r="L840" s="12"/>
      <c r="M840" s="12"/>
      <c r="N840" s="12"/>
    </row>
    <row r="841">
      <c r="E841" s="12"/>
      <c r="G841" s="12"/>
      <c r="H841" s="12"/>
      <c r="I841" s="12"/>
      <c r="J841" s="12"/>
      <c r="K841" s="12"/>
      <c r="L841" s="12"/>
      <c r="M841" s="12"/>
      <c r="N841" s="12"/>
    </row>
    <row r="842">
      <c r="E842" s="12"/>
      <c r="G842" s="12"/>
      <c r="H842" s="12"/>
      <c r="I842" s="12"/>
      <c r="J842" s="12"/>
      <c r="K842" s="12"/>
      <c r="L842" s="12"/>
      <c r="M842" s="12"/>
      <c r="N842" s="12"/>
    </row>
    <row r="843">
      <c r="E843" s="12"/>
      <c r="G843" s="12"/>
      <c r="H843" s="12"/>
      <c r="I843" s="12"/>
      <c r="J843" s="12"/>
      <c r="K843" s="12"/>
      <c r="L843" s="12"/>
      <c r="M843" s="12"/>
      <c r="N843" s="12"/>
    </row>
    <row r="844">
      <c r="E844" s="12"/>
      <c r="G844" s="12"/>
      <c r="H844" s="12"/>
      <c r="I844" s="12"/>
      <c r="J844" s="12"/>
      <c r="K844" s="12"/>
      <c r="L844" s="12"/>
      <c r="M844" s="12"/>
      <c r="N844" s="12"/>
    </row>
    <row r="845">
      <c r="E845" s="12"/>
      <c r="G845" s="12"/>
      <c r="H845" s="12"/>
      <c r="I845" s="12"/>
      <c r="J845" s="12"/>
      <c r="K845" s="12"/>
      <c r="L845" s="12"/>
      <c r="M845" s="12"/>
      <c r="N845" s="12"/>
    </row>
    <row r="846">
      <c r="E846" s="12"/>
      <c r="G846" s="12"/>
      <c r="H846" s="12"/>
      <c r="I846" s="12"/>
      <c r="J846" s="12"/>
      <c r="K846" s="12"/>
      <c r="L846" s="12"/>
      <c r="M846" s="12"/>
      <c r="N846" s="12"/>
    </row>
    <row r="847">
      <c r="E847" s="12"/>
      <c r="G847" s="12"/>
      <c r="H847" s="12"/>
      <c r="I847" s="12"/>
      <c r="J847" s="12"/>
      <c r="K847" s="12"/>
      <c r="L847" s="12"/>
      <c r="M847" s="12"/>
      <c r="N847" s="12"/>
    </row>
    <row r="848">
      <c r="E848" s="12"/>
      <c r="G848" s="12"/>
      <c r="H848" s="12"/>
      <c r="I848" s="12"/>
      <c r="J848" s="12"/>
      <c r="K848" s="12"/>
      <c r="L848" s="12"/>
      <c r="M848" s="12"/>
      <c r="N848" s="12"/>
    </row>
    <row r="849">
      <c r="E849" s="12"/>
      <c r="G849" s="12"/>
      <c r="H849" s="12"/>
      <c r="I849" s="12"/>
      <c r="J849" s="12"/>
      <c r="K849" s="12"/>
      <c r="L849" s="12"/>
      <c r="M849" s="12"/>
      <c r="N849" s="12"/>
    </row>
    <row r="850">
      <c r="E850" s="12"/>
      <c r="G850" s="12"/>
      <c r="H850" s="12"/>
      <c r="I850" s="12"/>
      <c r="J850" s="12"/>
      <c r="K850" s="12"/>
      <c r="L850" s="12"/>
      <c r="M850" s="12"/>
      <c r="N850" s="12"/>
    </row>
    <row r="851">
      <c r="E851" s="12"/>
      <c r="G851" s="12"/>
      <c r="H851" s="12"/>
      <c r="I851" s="12"/>
      <c r="J851" s="12"/>
      <c r="K851" s="12"/>
      <c r="L851" s="12"/>
      <c r="M851" s="12"/>
      <c r="N851" s="12"/>
    </row>
    <row r="852">
      <c r="E852" s="12"/>
      <c r="G852" s="12"/>
      <c r="H852" s="12"/>
      <c r="I852" s="12"/>
      <c r="J852" s="12"/>
      <c r="K852" s="12"/>
      <c r="L852" s="12"/>
      <c r="M852" s="12"/>
      <c r="N852" s="12"/>
    </row>
    <row r="853">
      <c r="E853" s="12"/>
      <c r="G853" s="12"/>
      <c r="H853" s="12"/>
      <c r="I853" s="12"/>
      <c r="J853" s="12"/>
      <c r="K853" s="12"/>
      <c r="L853" s="12"/>
      <c r="M853" s="12"/>
      <c r="N853" s="12"/>
    </row>
    <row r="854">
      <c r="E854" s="12"/>
      <c r="G854" s="12"/>
      <c r="H854" s="12"/>
      <c r="I854" s="12"/>
      <c r="J854" s="12"/>
      <c r="K854" s="12"/>
      <c r="L854" s="12"/>
      <c r="M854" s="12"/>
      <c r="N854" s="12"/>
    </row>
    <row r="855">
      <c r="E855" s="12"/>
      <c r="G855" s="12"/>
      <c r="H855" s="12"/>
      <c r="I855" s="12"/>
      <c r="J855" s="12"/>
      <c r="K855" s="12"/>
      <c r="L855" s="12"/>
      <c r="M855" s="12"/>
      <c r="N855" s="12"/>
    </row>
    <row r="856">
      <c r="E856" s="12"/>
      <c r="G856" s="12"/>
      <c r="H856" s="12"/>
      <c r="I856" s="12"/>
      <c r="J856" s="12"/>
      <c r="K856" s="12"/>
      <c r="L856" s="12"/>
      <c r="M856" s="12"/>
      <c r="N856" s="12"/>
    </row>
    <row r="857">
      <c r="E857" s="12"/>
      <c r="G857" s="12"/>
      <c r="H857" s="12"/>
      <c r="I857" s="12"/>
      <c r="J857" s="12"/>
      <c r="K857" s="12"/>
      <c r="L857" s="12"/>
      <c r="M857" s="12"/>
      <c r="N857" s="12"/>
    </row>
    <row r="858">
      <c r="E858" s="12"/>
      <c r="G858" s="12"/>
      <c r="H858" s="12"/>
      <c r="I858" s="12"/>
      <c r="J858" s="12"/>
      <c r="K858" s="12"/>
      <c r="L858" s="12"/>
      <c r="M858" s="12"/>
      <c r="N858" s="12"/>
    </row>
    <row r="859">
      <c r="E859" s="12"/>
      <c r="G859" s="12"/>
      <c r="H859" s="12"/>
      <c r="I859" s="12"/>
      <c r="J859" s="12"/>
      <c r="K859" s="12"/>
      <c r="L859" s="12"/>
      <c r="M859" s="12"/>
      <c r="N859" s="12"/>
    </row>
    <row r="860">
      <c r="E860" s="12"/>
      <c r="G860" s="12"/>
      <c r="H860" s="12"/>
      <c r="I860" s="12"/>
      <c r="J860" s="12"/>
      <c r="K860" s="12"/>
      <c r="L860" s="12"/>
      <c r="M860" s="12"/>
      <c r="N860" s="12"/>
    </row>
    <row r="861">
      <c r="E861" s="12"/>
      <c r="G861" s="12"/>
      <c r="H861" s="12"/>
      <c r="I861" s="12"/>
      <c r="J861" s="12"/>
      <c r="K861" s="12"/>
      <c r="L861" s="12"/>
      <c r="M861" s="12"/>
      <c r="N861" s="12"/>
    </row>
    <row r="862">
      <c r="E862" s="12"/>
      <c r="G862" s="12"/>
      <c r="H862" s="12"/>
      <c r="I862" s="12"/>
      <c r="J862" s="12"/>
      <c r="K862" s="12"/>
      <c r="L862" s="12"/>
      <c r="M862" s="12"/>
      <c r="N862" s="12"/>
    </row>
    <row r="863">
      <c r="E863" s="12"/>
      <c r="G863" s="12"/>
      <c r="H863" s="12"/>
      <c r="I863" s="12"/>
      <c r="J863" s="12"/>
      <c r="K863" s="12"/>
      <c r="L863" s="12"/>
      <c r="M863" s="12"/>
      <c r="N863" s="12"/>
    </row>
    <row r="864">
      <c r="E864" s="12"/>
      <c r="G864" s="12"/>
      <c r="H864" s="12"/>
      <c r="I864" s="12"/>
      <c r="J864" s="12"/>
      <c r="K864" s="12"/>
      <c r="L864" s="12"/>
      <c r="M864" s="12"/>
      <c r="N864" s="12"/>
    </row>
    <row r="865">
      <c r="E865" s="12"/>
      <c r="G865" s="12"/>
      <c r="H865" s="12"/>
      <c r="I865" s="12"/>
      <c r="J865" s="12"/>
      <c r="K865" s="12"/>
      <c r="L865" s="12"/>
      <c r="M865" s="12"/>
      <c r="N865" s="12"/>
    </row>
    <row r="866">
      <c r="E866" s="12"/>
      <c r="G866" s="12"/>
      <c r="H866" s="12"/>
      <c r="I866" s="12"/>
      <c r="J866" s="12"/>
      <c r="K866" s="12"/>
      <c r="L866" s="12"/>
      <c r="M866" s="12"/>
      <c r="N866" s="12"/>
    </row>
    <row r="867">
      <c r="E867" s="12"/>
      <c r="G867" s="12"/>
      <c r="H867" s="12"/>
      <c r="I867" s="12"/>
      <c r="J867" s="12"/>
      <c r="K867" s="12"/>
      <c r="L867" s="12"/>
      <c r="M867" s="12"/>
      <c r="N867" s="12"/>
    </row>
    <row r="868">
      <c r="E868" s="12"/>
      <c r="G868" s="12"/>
      <c r="H868" s="12"/>
      <c r="I868" s="12"/>
      <c r="J868" s="12"/>
      <c r="K868" s="12"/>
      <c r="L868" s="12"/>
      <c r="M868" s="12"/>
      <c r="N868" s="12"/>
    </row>
    <row r="869">
      <c r="E869" s="12"/>
      <c r="G869" s="12"/>
      <c r="H869" s="12"/>
      <c r="I869" s="12"/>
      <c r="J869" s="12"/>
      <c r="K869" s="12"/>
      <c r="L869" s="12"/>
      <c r="M869" s="12"/>
      <c r="N869" s="12"/>
    </row>
    <row r="870">
      <c r="E870" s="12"/>
      <c r="G870" s="12"/>
      <c r="H870" s="12"/>
      <c r="I870" s="12"/>
      <c r="J870" s="12"/>
      <c r="K870" s="12"/>
      <c r="L870" s="12"/>
      <c r="M870" s="12"/>
      <c r="N870" s="12"/>
    </row>
    <row r="871">
      <c r="E871" s="12"/>
      <c r="G871" s="12"/>
      <c r="H871" s="12"/>
      <c r="I871" s="12"/>
      <c r="J871" s="12"/>
      <c r="K871" s="12"/>
      <c r="L871" s="12"/>
      <c r="M871" s="12"/>
      <c r="N871" s="12"/>
    </row>
    <row r="872">
      <c r="E872" s="12"/>
      <c r="G872" s="12"/>
      <c r="H872" s="12"/>
      <c r="I872" s="12"/>
      <c r="J872" s="12"/>
      <c r="K872" s="12"/>
      <c r="L872" s="12"/>
      <c r="M872" s="12"/>
      <c r="N872" s="12"/>
    </row>
    <row r="873">
      <c r="E873" s="12"/>
      <c r="G873" s="12"/>
      <c r="H873" s="12"/>
      <c r="I873" s="12"/>
      <c r="J873" s="12"/>
      <c r="K873" s="12"/>
      <c r="L873" s="12"/>
      <c r="M873" s="12"/>
      <c r="N873" s="12"/>
    </row>
    <row r="874">
      <c r="E874" s="12"/>
      <c r="G874" s="12"/>
      <c r="H874" s="12"/>
      <c r="I874" s="12"/>
      <c r="J874" s="12"/>
      <c r="K874" s="12"/>
      <c r="L874" s="12"/>
      <c r="M874" s="12"/>
      <c r="N874" s="12"/>
    </row>
    <row r="875">
      <c r="E875" s="12"/>
      <c r="G875" s="12"/>
      <c r="H875" s="12"/>
      <c r="I875" s="12"/>
      <c r="J875" s="12"/>
      <c r="K875" s="12"/>
      <c r="L875" s="12"/>
      <c r="M875" s="12"/>
      <c r="N875" s="12"/>
    </row>
    <row r="876">
      <c r="E876" s="12"/>
      <c r="G876" s="12"/>
      <c r="H876" s="12"/>
      <c r="I876" s="12"/>
      <c r="J876" s="12"/>
      <c r="K876" s="12"/>
      <c r="L876" s="12"/>
      <c r="M876" s="12"/>
      <c r="N876" s="12"/>
    </row>
    <row r="877">
      <c r="E877" s="12"/>
      <c r="G877" s="12"/>
      <c r="H877" s="12"/>
      <c r="I877" s="12"/>
      <c r="J877" s="12"/>
      <c r="K877" s="12"/>
      <c r="L877" s="12"/>
      <c r="M877" s="12"/>
      <c r="N877" s="12"/>
    </row>
    <row r="878">
      <c r="E878" s="12"/>
      <c r="G878" s="12"/>
      <c r="H878" s="12"/>
      <c r="I878" s="12"/>
      <c r="J878" s="12"/>
      <c r="K878" s="12"/>
      <c r="L878" s="12"/>
      <c r="M878" s="12"/>
      <c r="N878" s="12"/>
    </row>
    <row r="879">
      <c r="E879" s="12"/>
      <c r="G879" s="12"/>
      <c r="H879" s="12"/>
      <c r="I879" s="12"/>
      <c r="J879" s="12"/>
      <c r="K879" s="12"/>
      <c r="L879" s="12"/>
      <c r="M879" s="12"/>
      <c r="N879" s="12"/>
    </row>
    <row r="880">
      <c r="E880" s="12"/>
      <c r="G880" s="12"/>
      <c r="H880" s="12"/>
      <c r="I880" s="12"/>
      <c r="J880" s="12"/>
      <c r="K880" s="12"/>
      <c r="L880" s="12"/>
      <c r="M880" s="12"/>
      <c r="N880" s="12"/>
    </row>
    <row r="881">
      <c r="E881" s="12"/>
      <c r="G881" s="12"/>
      <c r="H881" s="12"/>
      <c r="I881" s="12"/>
      <c r="J881" s="12"/>
      <c r="K881" s="12"/>
      <c r="L881" s="12"/>
      <c r="M881" s="12"/>
      <c r="N881" s="12"/>
    </row>
    <row r="882">
      <c r="E882" s="12"/>
      <c r="G882" s="12"/>
      <c r="H882" s="12"/>
      <c r="I882" s="12"/>
      <c r="J882" s="12"/>
      <c r="K882" s="12"/>
      <c r="L882" s="12"/>
      <c r="M882" s="12"/>
      <c r="N882" s="12"/>
    </row>
    <row r="883">
      <c r="E883" s="12"/>
      <c r="G883" s="12"/>
      <c r="H883" s="12"/>
      <c r="I883" s="12"/>
      <c r="J883" s="12"/>
      <c r="K883" s="12"/>
      <c r="L883" s="12"/>
      <c r="M883" s="12"/>
      <c r="N883" s="12"/>
    </row>
    <row r="884">
      <c r="E884" s="12"/>
      <c r="G884" s="12"/>
      <c r="H884" s="12"/>
      <c r="I884" s="12"/>
      <c r="J884" s="12"/>
      <c r="K884" s="12"/>
      <c r="L884" s="12"/>
      <c r="M884" s="12"/>
      <c r="N884" s="12"/>
    </row>
    <row r="885">
      <c r="E885" s="12"/>
      <c r="G885" s="12"/>
      <c r="H885" s="12"/>
      <c r="I885" s="12"/>
      <c r="J885" s="12"/>
      <c r="K885" s="12"/>
      <c r="L885" s="12"/>
      <c r="M885" s="12"/>
      <c r="N885" s="12"/>
    </row>
    <row r="886">
      <c r="E886" s="12"/>
      <c r="G886" s="12"/>
      <c r="H886" s="12"/>
      <c r="I886" s="12"/>
      <c r="J886" s="12"/>
      <c r="K886" s="12"/>
      <c r="L886" s="12"/>
      <c r="M886" s="12"/>
      <c r="N886" s="12"/>
    </row>
    <row r="887">
      <c r="E887" s="12"/>
      <c r="G887" s="12"/>
      <c r="H887" s="12"/>
      <c r="I887" s="12"/>
      <c r="J887" s="12"/>
      <c r="K887" s="12"/>
      <c r="L887" s="12"/>
      <c r="M887" s="12"/>
      <c r="N887" s="12"/>
    </row>
    <row r="888">
      <c r="E888" s="12"/>
      <c r="G888" s="12"/>
      <c r="H888" s="12"/>
      <c r="I888" s="12"/>
      <c r="J888" s="12"/>
      <c r="K888" s="12"/>
      <c r="L888" s="12"/>
      <c r="M888" s="12"/>
      <c r="N888" s="12"/>
    </row>
    <row r="889">
      <c r="E889" s="12"/>
      <c r="G889" s="12"/>
      <c r="H889" s="12"/>
      <c r="I889" s="12"/>
      <c r="J889" s="12"/>
      <c r="K889" s="12"/>
      <c r="L889" s="12"/>
      <c r="M889" s="12"/>
      <c r="N889" s="12"/>
    </row>
    <row r="890">
      <c r="E890" s="12"/>
      <c r="G890" s="12"/>
      <c r="H890" s="12"/>
      <c r="I890" s="12"/>
      <c r="J890" s="12"/>
      <c r="K890" s="12"/>
      <c r="L890" s="12"/>
      <c r="M890" s="12"/>
      <c r="N890" s="12"/>
    </row>
    <row r="891">
      <c r="E891" s="12"/>
      <c r="G891" s="12"/>
      <c r="H891" s="12"/>
      <c r="I891" s="12"/>
      <c r="J891" s="12"/>
      <c r="K891" s="12"/>
      <c r="L891" s="12"/>
      <c r="M891" s="12"/>
      <c r="N891" s="12"/>
    </row>
    <row r="892">
      <c r="E892" s="12"/>
      <c r="G892" s="12"/>
      <c r="H892" s="12"/>
      <c r="I892" s="12"/>
      <c r="J892" s="12"/>
      <c r="K892" s="12"/>
      <c r="L892" s="12"/>
      <c r="M892" s="12"/>
      <c r="N892" s="12"/>
    </row>
    <row r="893">
      <c r="E893" s="12"/>
      <c r="G893" s="12"/>
      <c r="H893" s="12"/>
      <c r="I893" s="12"/>
      <c r="J893" s="12"/>
      <c r="K893" s="12"/>
      <c r="L893" s="12"/>
      <c r="M893" s="12"/>
      <c r="N893" s="12"/>
    </row>
    <row r="894">
      <c r="E894" s="12"/>
      <c r="G894" s="12"/>
      <c r="H894" s="12"/>
      <c r="I894" s="12"/>
      <c r="J894" s="12"/>
      <c r="K894" s="12"/>
      <c r="L894" s="12"/>
      <c r="M894" s="12"/>
      <c r="N894" s="12"/>
    </row>
    <row r="895">
      <c r="E895" s="12"/>
      <c r="G895" s="12"/>
      <c r="H895" s="12"/>
      <c r="I895" s="12"/>
      <c r="J895" s="12"/>
      <c r="K895" s="12"/>
      <c r="L895" s="12"/>
      <c r="M895" s="12"/>
      <c r="N895" s="12"/>
    </row>
    <row r="896">
      <c r="E896" s="12"/>
      <c r="G896" s="12"/>
      <c r="H896" s="12"/>
      <c r="I896" s="12"/>
      <c r="J896" s="12"/>
      <c r="K896" s="12"/>
      <c r="L896" s="12"/>
      <c r="M896" s="12"/>
      <c r="N896" s="12"/>
    </row>
    <row r="897">
      <c r="E897" s="12"/>
      <c r="G897" s="12"/>
      <c r="H897" s="12"/>
      <c r="I897" s="12"/>
      <c r="J897" s="12"/>
      <c r="K897" s="12"/>
      <c r="L897" s="12"/>
      <c r="M897" s="12"/>
      <c r="N897" s="12"/>
    </row>
    <row r="898">
      <c r="E898" s="12"/>
      <c r="G898" s="12"/>
      <c r="H898" s="12"/>
      <c r="I898" s="12"/>
      <c r="J898" s="12"/>
      <c r="K898" s="12"/>
      <c r="L898" s="12"/>
      <c r="M898" s="12"/>
      <c r="N898" s="12"/>
    </row>
    <row r="899">
      <c r="E899" s="12"/>
      <c r="G899" s="12"/>
      <c r="H899" s="12"/>
      <c r="I899" s="12"/>
      <c r="J899" s="12"/>
      <c r="K899" s="12"/>
      <c r="L899" s="12"/>
      <c r="M899" s="12"/>
      <c r="N899" s="12"/>
    </row>
    <row r="900">
      <c r="E900" s="12"/>
      <c r="G900" s="12"/>
      <c r="H900" s="12"/>
      <c r="I900" s="12"/>
      <c r="J900" s="12"/>
      <c r="K900" s="12"/>
      <c r="L900" s="12"/>
      <c r="M900" s="12"/>
      <c r="N900" s="12"/>
    </row>
    <row r="901">
      <c r="E901" s="12"/>
      <c r="G901" s="12"/>
      <c r="H901" s="12"/>
      <c r="I901" s="12"/>
      <c r="J901" s="12"/>
      <c r="K901" s="12"/>
      <c r="L901" s="12"/>
      <c r="M901" s="12"/>
      <c r="N901" s="12"/>
    </row>
    <row r="902">
      <c r="E902" s="12"/>
      <c r="G902" s="12"/>
      <c r="H902" s="12"/>
      <c r="I902" s="12"/>
      <c r="J902" s="12"/>
      <c r="K902" s="12"/>
      <c r="L902" s="12"/>
      <c r="M902" s="12"/>
      <c r="N902" s="12"/>
    </row>
    <row r="903">
      <c r="E903" s="12"/>
      <c r="G903" s="12"/>
      <c r="H903" s="12"/>
      <c r="I903" s="12"/>
      <c r="J903" s="12"/>
      <c r="K903" s="12"/>
      <c r="L903" s="12"/>
      <c r="M903" s="12"/>
      <c r="N903" s="12"/>
    </row>
    <row r="904">
      <c r="E904" s="12"/>
      <c r="G904" s="12"/>
      <c r="H904" s="12"/>
      <c r="I904" s="12"/>
      <c r="J904" s="12"/>
      <c r="K904" s="12"/>
      <c r="L904" s="12"/>
      <c r="M904" s="12"/>
      <c r="N904" s="12"/>
    </row>
    <row r="905">
      <c r="E905" s="12"/>
      <c r="G905" s="12"/>
      <c r="H905" s="12"/>
      <c r="I905" s="12"/>
      <c r="J905" s="12"/>
      <c r="K905" s="12"/>
      <c r="L905" s="12"/>
      <c r="M905" s="12"/>
      <c r="N905" s="12"/>
    </row>
    <row r="906">
      <c r="E906" s="12"/>
      <c r="G906" s="12"/>
      <c r="H906" s="12"/>
      <c r="I906" s="12"/>
      <c r="J906" s="12"/>
      <c r="K906" s="12"/>
      <c r="L906" s="12"/>
      <c r="M906" s="12"/>
      <c r="N906" s="12"/>
    </row>
    <row r="907">
      <c r="E907" s="12"/>
      <c r="G907" s="12"/>
      <c r="H907" s="12"/>
      <c r="I907" s="12"/>
      <c r="J907" s="12"/>
      <c r="K907" s="12"/>
      <c r="L907" s="12"/>
      <c r="M907" s="12"/>
      <c r="N907" s="12"/>
    </row>
    <row r="908">
      <c r="E908" s="12"/>
      <c r="G908" s="12"/>
      <c r="H908" s="12"/>
      <c r="I908" s="12"/>
      <c r="J908" s="12"/>
      <c r="K908" s="12"/>
      <c r="L908" s="12"/>
      <c r="M908" s="12"/>
      <c r="N908" s="12"/>
    </row>
    <row r="909">
      <c r="E909" s="12"/>
      <c r="G909" s="12"/>
      <c r="H909" s="12"/>
      <c r="I909" s="12"/>
      <c r="J909" s="12"/>
      <c r="K909" s="12"/>
      <c r="L909" s="12"/>
      <c r="M909" s="12"/>
      <c r="N909" s="12"/>
    </row>
    <row r="910">
      <c r="E910" s="12"/>
      <c r="G910" s="12"/>
      <c r="H910" s="12"/>
      <c r="I910" s="12"/>
      <c r="J910" s="12"/>
      <c r="K910" s="12"/>
      <c r="L910" s="12"/>
      <c r="M910" s="12"/>
      <c r="N910" s="12"/>
    </row>
    <row r="911">
      <c r="E911" s="12"/>
      <c r="G911" s="12"/>
      <c r="H911" s="12"/>
      <c r="I911" s="12"/>
      <c r="J911" s="12"/>
      <c r="K911" s="12"/>
      <c r="L911" s="12"/>
      <c r="M911" s="12"/>
      <c r="N911" s="12"/>
    </row>
    <row r="912">
      <c r="E912" s="12"/>
      <c r="G912" s="12"/>
      <c r="H912" s="12"/>
      <c r="I912" s="12"/>
      <c r="J912" s="12"/>
      <c r="K912" s="12"/>
      <c r="L912" s="12"/>
      <c r="M912" s="12"/>
      <c r="N912" s="12"/>
    </row>
    <row r="913">
      <c r="E913" s="12"/>
      <c r="G913" s="12"/>
      <c r="H913" s="12"/>
      <c r="I913" s="12"/>
      <c r="J913" s="12"/>
      <c r="K913" s="12"/>
      <c r="L913" s="12"/>
      <c r="M913" s="12"/>
      <c r="N913" s="12"/>
    </row>
    <row r="914">
      <c r="E914" s="12"/>
      <c r="G914" s="12"/>
      <c r="H914" s="12"/>
      <c r="I914" s="12"/>
      <c r="J914" s="12"/>
      <c r="K914" s="12"/>
      <c r="L914" s="12"/>
      <c r="M914" s="12"/>
      <c r="N914" s="12"/>
    </row>
    <row r="915">
      <c r="E915" s="12"/>
      <c r="G915" s="12"/>
      <c r="H915" s="12"/>
      <c r="I915" s="12"/>
      <c r="J915" s="12"/>
      <c r="K915" s="12"/>
      <c r="L915" s="12"/>
      <c r="M915" s="12"/>
      <c r="N915" s="12"/>
    </row>
    <row r="916">
      <c r="E916" s="12"/>
      <c r="G916" s="12"/>
      <c r="H916" s="12"/>
      <c r="I916" s="12"/>
      <c r="J916" s="12"/>
      <c r="K916" s="12"/>
      <c r="L916" s="12"/>
      <c r="M916" s="12"/>
      <c r="N916" s="12"/>
    </row>
    <row r="917">
      <c r="E917" s="12"/>
      <c r="G917" s="12"/>
      <c r="H917" s="12"/>
      <c r="I917" s="12"/>
      <c r="J917" s="12"/>
      <c r="K917" s="12"/>
      <c r="L917" s="12"/>
      <c r="M917" s="12"/>
      <c r="N917" s="12"/>
    </row>
    <row r="918">
      <c r="E918" s="12"/>
      <c r="G918" s="12"/>
      <c r="H918" s="12"/>
      <c r="I918" s="12"/>
      <c r="J918" s="12"/>
      <c r="K918" s="12"/>
      <c r="L918" s="12"/>
      <c r="M918" s="12"/>
      <c r="N918" s="12"/>
    </row>
    <row r="919">
      <c r="E919" s="12"/>
      <c r="G919" s="12"/>
      <c r="H919" s="12"/>
      <c r="I919" s="12"/>
      <c r="J919" s="12"/>
      <c r="K919" s="12"/>
      <c r="L919" s="12"/>
      <c r="M919" s="12"/>
      <c r="N919" s="12"/>
    </row>
    <row r="920">
      <c r="E920" s="12"/>
      <c r="G920" s="12"/>
      <c r="H920" s="12"/>
      <c r="I920" s="12"/>
      <c r="J920" s="12"/>
      <c r="K920" s="12"/>
      <c r="L920" s="12"/>
      <c r="M920" s="12"/>
      <c r="N920" s="12"/>
    </row>
    <row r="921">
      <c r="E921" s="12"/>
      <c r="G921" s="12"/>
      <c r="H921" s="12"/>
      <c r="I921" s="12"/>
      <c r="J921" s="12"/>
      <c r="K921" s="12"/>
      <c r="L921" s="12"/>
      <c r="M921" s="12"/>
      <c r="N921" s="12"/>
    </row>
    <row r="922">
      <c r="E922" s="12"/>
      <c r="G922" s="12"/>
      <c r="H922" s="12"/>
      <c r="I922" s="12"/>
      <c r="J922" s="12"/>
      <c r="K922" s="12"/>
      <c r="L922" s="12"/>
      <c r="M922" s="12"/>
      <c r="N922" s="12"/>
    </row>
    <row r="923">
      <c r="E923" s="12"/>
      <c r="G923" s="12"/>
      <c r="H923" s="12"/>
      <c r="I923" s="12"/>
      <c r="J923" s="12"/>
      <c r="K923" s="12"/>
      <c r="L923" s="12"/>
      <c r="M923" s="12"/>
      <c r="N923" s="12"/>
    </row>
    <row r="924">
      <c r="E924" s="12"/>
      <c r="G924" s="12"/>
      <c r="H924" s="12"/>
      <c r="I924" s="12"/>
      <c r="J924" s="12"/>
      <c r="K924" s="12"/>
      <c r="L924" s="12"/>
      <c r="M924" s="12"/>
      <c r="N924" s="12"/>
    </row>
    <row r="925">
      <c r="E925" s="12"/>
      <c r="G925" s="12"/>
      <c r="H925" s="12"/>
      <c r="I925" s="12"/>
      <c r="J925" s="12"/>
      <c r="K925" s="12"/>
      <c r="L925" s="12"/>
      <c r="M925" s="12"/>
      <c r="N925" s="12"/>
    </row>
    <row r="926">
      <c r="E926" s="12"/>
      <c r="G926" s="12"/>
      <c r="H926" s="12"/>
      <c r="I926" s="12"/>
      <c r="J926" s="12"/>
      <c r="K926" s="12"/>
      <c r="L926" s="12"/>
      <c r="M926" s="12"/>
      <c r="N926" s="12"/>
    </row>
    <row r="927">
      <c r="E927" s="12"/>
      <c r="G927" s="12"/>
      <c r="H927" s="12"/>
      <c r="I927" s="12"/>
      <c r="J927" s="12"/>
      <c r="K927" s="12"/>
      <c r="L927" s="12"/>
      <c r="M927" s="12"/>
      <c r="N927" s="12"/>
    </row>
    <row r="928">
      <c r="E928" s="12"/>
      <c r="G928" s="12"/>
      <c r="H928" s="12"/>
      <c r="I928" s="12"/>
      <c r="J928" s="12"/>
      <c r="K928" s="12"/>
      <c r="L928" s="12"/>
      <c r="M928" s="12"/>
      <c r="N928" s="12"/>
    </row>
    <row r="929">
      <c r="E929" s="12"/>
      <c r="G929" s="12"/>
      <c r="H929" s="12"/>
      <c r="I929" s="12"/>
      <c r="J929" s="12"/>
      <c r="K929" s="12"/>
      <c r="L929" s="12"/>
      <c r="M929" s="12"/>
      <c r="N929" s="12"/>
    </row>
    <row r="930">
      <c r="E930" s="12"/>
      <c r="G930" s="12"/>
      <c r="H930" s="12"/>
      <c r="I930" s="12"/>
      <c r="J930" s="12"/>
      <c r="K930" s="12"/>
      <c r="L930" s="12"/>
      <c r="M930" s="12"/>
      <c r="N930" s="12"/>
    </row>
    <row r="931">
      <c r="E931" s="12"/>
      <c r="G931" s="12"/>
      <c r="H931" s="12"/>
      <c r="I931" s="12"/>
      <c r="J931" s="12"/>
      <c r="K931" s="12"/>
      <c r="L931" s="12"/>
      <c r="M931" s="12"/>
      <c r="N931" s="12"/>
    </row>
    <row r="932">
      <c r="E932" s="12"/>
      <c r="G932" s="12"/>
      <c r="H932" s="12"/>
      <c r="I932" s="12"/>
      <c r="J932" s="12"/>
      <c r="K932" s="12"/>
      <c r="L932" s="12"/>
      <c r="M932" s="12"/>
      <c r="N932" s="12"/>
    </row>
    <row r="933">
      <c r="E933" s="12"/>
      <c r="G933" s="12"/>
      <c r="H933" s="12"/>
      <c r="I933" s="12"/>
      <c r="J933" s="12"/>
      <c r="K933" s="12"/>
      <c r="L933" s="12"/>
      <c r="M933" s="12"/>
      <c r="N933" s="12"/>
    </row>
    <row r="934">
      <c r="E934" s="12"/>
      <c r="G934" s="12"/>
      <c r="H934" s="12"/>
      <c r="I934" s="12"/>
      <c r="J934" s="12"/>
      <c r="K934" s="12"/>
      <c r="L934" s="12"/>
      <c r="M934" s="12"/>
      <c r="N934" s="12"/>
    </row>
    <row r="935">
      <c r="E935" s="12"/>
      <c r="G935" s="12"/>
      <c r="H935" s="12"/>
      <c r="I935" s="12"/>
      <c r="J935" s="12"/>
      <c r="K935" s="12"/>
      <c r="L935" s="12"/>
      <c r="M935" s="12"/>
      <c r="N935" s="12"/>
    </row>
    <row r="936">
      <c r="E936" s="12"/>
      <c r="G936" s="12"/>
      <c r="H936" s="12"/>
      <c r="I936" s="12"/>
      <c r="J936" s="12"/>
      <c r="K936" s="12"/>
      <c r="L936" s="12"/>
      <c r="M936" s="12"/>
      <c r="N936" s="12"/>
    </row>
    <row r="937">
      <c r="E937" s="12"/>
      <c r="G937" s="12"/>
      <c r="H937" s="12"/>
      <c r="I937" s="12"/>
      <c r="J937" s="12"/>
      <c r="K937" s="12"/>
      <c r="L937" s="12"/>
      <c r="M937" s="12"/>
      <c r="N937" s="12"/>
    </row>
    <row r="938">
      <c r="E938" s="12"/>
      <c r="G938" s="12"/>
      <c r="H938" s="12"/>
      <c r="I938" s="12"/>
      <c r="J938" s="12"/>
      <c r="K938" s="12"/>
      <c r="L938" s="12"/>
      <c r="M938" s="12"/>
      <c r="N938" s="12"/>
    </row>
    <row r="939">
      <c r="E939" s="12"/>
      <c r="G939" s="12"/>
      <c r="H939" s="12"/>
      <c r="I939" s="12"/>
      <c r="J939" s="12"/>
      <c r="K939" s="12"/>
      <c r="L939" s="12"/>
      <c r="M939" s="12"/>
      <c r="N939" s="12"/>
    </row>
    <row r="940">
      <c r="E940" s="12"/>
      <c r="G940" s="12"/>
      <c r="H940" s="12"/>
      <c r="I940" s="12"/>
      <c r="J940" s="12"/>
      <c r="K940" s="12"/>
      <c r="L940" s="12"/>
      <c r="M940" s="12"/>
      <c r="N940" s="12"/>
    </row>
    <row r="941">
      <c r="E941" s="12"/>
      <c r="G941" s="12"/>
      <c r="H941" s="12"/>
      <c r="I941" s="12"/>
      <c r="J941" s="12"/>
      <c r="K941" s="12"/>
      <c r="L941" s="12"/>
      <c r="M941" s="12"/>
      <c r="N941" s="12"/>
    </row>
    <row r="942">
      <c r="E942" s="12"/>
      <c r="G942" s="12"/>
      <c r="H942" s="12"/>
      <c r="I942" s="12"/>
      <c r="J942" s="12"/>
      <c r="K942" s="12"/>
      <c r="L942" s="12"/>
      <c r="M942" s="12"/>
      <c r="N942" s="12"/>
    </row>
    <row r="943">
      <c r="E943" s="12"/>
      <c r="G943" s="12"/>
      <c r="H943" s="12"/>
      <c r="I943" s="12"/>
      <c r="J943" s="12"/>
      <c r="K943" s="12"/>
      <c r="L943" s="12"/>
      <c r="M943" s="12"/>
      <c r="N943" s="12"/>
    </row>
    <row r="944">
      <c r="E944" s="12"/>
      <c r="G944" s="12"/>
      <c r="H944" s="12"/>
      <c r="I944" s="12"/>
      <c r="J944" s="12"/>
      <c r="K944" s="12"/>
      <c r="L944" s="12"/>
      <c r="M944" s="12"/>
      <c r="N944" s="12"/>
    </row>
    <row r="945">
      <c r="E945" s="12"/>
      <c r="G945" s="12"/>
      <c r="H945" s="12"/>
      <c r="I945" s="12"/>
      <c r="J945" s="12"/>
      <c r="K945" s="12"/>
      <c r="L945" s="12"/>
      <c r="M945" s="12"/>
      <c r="N945" s="12"/>
    </row>
    <row r="946">
      <c r="E946" s="12"/>
      <c r="G946" s="12"/>
      <c r="H946" s="12"/>
      <c r="I946" s="12"/>
      <c r="J946" s="12"/>
      <c r="K946" s="12"/>
      <c r="L946" s="12"/>
      <c r="M946" s="12"/>
      <c r="N946" s="12"/>
    </row>
    <row r="947">
      <c r="E947" s="12"/>
      <c r="G947" s="12"/>
      <c r="H947" s="12"/>
      <c r="I947" s="12"/>
      <c r="J947" s="12"/>
      <c r="K947" s="12"/>
      <c r="L947" s="12"/>
      <c r="M947" s="12"/>
      <c r="N947" s="12"/>
    </row>
    <row r="948">
      <c r="E948" s="12"/>
      <c r="G948" s="12"/>
      <c r="H948" s="12"/>
      <c r="I948" s="12"/>
      <c r="J948" s="12"/>
      <c r="K948" s="12"/>
      <c r="L948" s="12"/>
      <c r="M948" s="12"/>
      <c r="N948" s="12"/>
    </row>
    <row r="949">
      <c r="E949" s="12"/>
      <c r="G949" s="12"/>
      <c r="H949" s="12"/>
      <c r="I949" s="12"/>
      <c r="J949" s="12"/>
      <c r="K949" s="12"/>
      <c r="L949" s="12"/>
      <c r="M949" s="12"/>
      <c r="N949" s="12"/>
    </row>
    <row r="950">
      <c r="E950" s="12"/>
      <c r="G950" s="12"/>
      <c r="H950" s="12"/>
      <c r="I950" s="12"/>
      <c r="J950" s="12"/>
      <c r="K950" s="12"/>
      <c r="L950" s="12"/>
      <c r="M950" s="12"/>
      <c r="N950" s="12"/>
    </row>
    <row r="951">
      <c r="E951" s="12"/>
      <c r="G951" s="12"/>
      <c r="H951" s="12"/>
      <c r="I951" s="12"/>
      <c r="J951" s="12"/>
      <c r="K951" s="12"/>
      <c r="L951" s="12"/>
      <c r="M951" s="12"/>
      <c r="N951" s="12"/>
    </row>
    <row r="952">
      <c r="E952" s="12"/>
      <c r="G952" s="12"/>
      <c r="H952" s="12"/>
      <c r="I952" s="12"/>
      <c r="J952" s="12"/>
      <c r="K952" s="12"/>
      <c r="L952" s="12"/>
      <c r="M952" s="12"/>
      <c r="N952" s="12"/>
    </row>
    <row r="953">
      <c r="E953" s="12"/>
      <c r="G953" s="12"/>
      <c r="H953" s="12"/>
      <c r="I953" s="12"/>
      <c r="J953" s="12"/>
      <c r="K953" s="12"/>
      <c r="L953" s="12"/>
      <c r="M953" s="12"/>
      <c r="N953" s="12"/>
    </row>
    <row r="954">
      <c r="E954" s="12"/>
      <c r="G954" s="12"/>
      <c r="H954" s="12"/>
      <c r="I954" s="12"/>
      <c r="J954" s="12"/>
      <c r="K954" s="12"/>
      <c r="L954" s="12"/>
      <c r="M954" s="12"/>
      <c r="N954" s="12"/>
    </row>
    <row r="955">
      <c r="E955" s="12"/>
      <c r="G955" s="12"/>
      <c r="H955" s="12"/>
      <c r="I955" s="12"/>
      <c r="J955" s="12"/>
      <c r="K955" s="12"/>
      <c r="L955" s="12"/>
      <c r="M955" s="12"/>
      <c r="N955" s="12"/>
    </row>
    <row r="956">
      <c r="E956" s="12"/>
      <c r="G956" s="12"/>
      <c r="H956" s="12"/>
      <c r="I956" s="12"/>
      <c r="J956" s="12"/>
      <c r="K956" s="12"/>
      <c r="L956" s="12"/>
      <c r="M956" s="12"/>
      <c r="N956" s="12"/>
    </row>
    <row r="957">
      <c r="E957" s="12"/>
      <c r="G957" s="12"/>
      <c r="H957" s="12"/>
      <c r="I957" s="12"/>
      <c r="J957" s="12"/>
      <c r="K957" s="12"/>
      <c r="L957" s="12"/>
      <c r="M957" s="12"/>
      <c r="N957" s="12"/>
    </row>
    <row r="958">
      <c r="E958" s="12"/>
      <c r="G958" s="12"/>
      <c r="H958" s="12"/>
      <c r="I958" s="12"/>
      <c r="J958" s="12"/>
      <c r="K958" s="12"/>
      <c r="L958" s="12"/>
      <c r="M958" s="12"/>
      <c r="N958" s="12"/>
    </row>
    <row r="959">
      <c r="E959" s="12"/>
      <c r="G959" s="12"/>
      <c r="H959" s="12"/>
      <c r="I959" s="12"/>
      <c r="J959" s="12"/>
      <c r="K959" s="12"/>
      <c r="L959" s="12"/>
      <c r="M959" s="12"/>
      <c r="N959" s="12"/>
    </row>
    <row r="960">
      <c r="E960" s="12"/>
      <c r="G960" s="12"/>
      <c r="H960" s="12"/>
      <c r="I960" s="12"/>
      <c r="J960" s="12"/>
      <c r="K960" s="12"/>
      <c r="L960" s="12"/>
      <c r="M960" s="12"/>
      <c r="N960" s="12"/>
    </row>
    <row r="961">
      <c r="E961" s="12"/>
      <c r="G961" s="12"/>
      <c r="H961" s="12"/>
      <c r="I961" s="12"/>
      <c r="J961" s="12"/>
      <c r="K961" s="12"/>
      <c r="L961" s="12"/>
      <c r="M961" s="12"/>
      <c r="N961" s="12"/>
    </row>
    <row r="962">
      <c r="E962" s="12"/>
      <c r="G962" s="12"/>
      <c r="H962" s="12"/>
      <c r="I962" s="12"/>
      <c r="J962" s="12"/>
      <c r="K962" s="12"/>
      <c r="L962" s="12"/>
      <c r="M962" s="12"/>
      <c r="N962" s="12"/>
    </row>
    <row r="963">
      <c r="E963" s="12"/>
      <c r="G963" s="12"/>
      <c r="H963" s="12"/>
      <c r="I963" s="12"/>
      <c r="J963" s="12"/>
      <c r="K963" s="12"/>
      <c r="L963" s="12"/>
      <c r="M963" s="12"/>
      <c r="N963" s="12"/>
    </row>
    <row r="964">
      <c r="E964" s="12"/>
      <c r="G964" s="12"/>
      <c r="H964" s="12"/>
      <c r="I964" s="12"/>
      <c r="J964" s="12"/>
      <c r="K964" s="12"/>
      <c r="L964" s="12"/>
      <c r="M964" s="12"/>
      <c r="N964" s="12"/>
    </row>
    <row r="965">
      <c r="E965" s="12"/>
      <c r="G965" s="12"/>
      <c r="H965" s="12"/>
      <c r="I965" s="12"/>
      <c r="J965" s="12"/>
      <c r="K965" s="12"/>
      <c r="L965" s="12"/>
      <c r="M965" s="12"/>
      <c r="N965" s="12"/>
    </row>
    <row r="966">
      <c r="E966" s="12"/>
      <c r="G966" s="12"/>
      <c r="H966" s="12"/>
      <c r="I966" s="12"/>
      <c r="J966" s="12"/>
      <c r="K966" s="12"/>
      <c r="L966" s="12"/>
      <c r="M966" s="12"/>
      <c r="N966" s="12"/>
    </row>
    <row r="967">
      <c r="E967" s="12"/>
      <c r="G967" s="12"/>
      <c r="H967" s="12"/>
      <c r="I967" s="12"/>
      <c r="J967" s="12"/>
      <c r="K967" s="12"/>
      <c r="L967" s="12"/>
      <c r="M967" s="12"/>
      <c r="N967" s="12"/>
    </row>
    <row r="968">
      <c r="E968" s="12"/>
      <c r="G968" s="12"/>
      <c r="H968" s="12"/>
      <c r="I968" s="12"/>
      <c r="J968" s="12"/>
      <c r="K968" s="12"/>
      <c r="L968" s="12"/>
      <c r="M968" s="12"/>
      <c r="N968" s="12"/>
    </row>
    <row r="969">
      <c r="E969" s="12"/>
      <c r="G969" s="12"/>
      <c r="H969" s="12"/>
      <c r="I969" s="12"/>
      <c r="J969" s="12"/>
      <c r="K969" s="12"/>
      <c r="L969" s="12"/>
      <c r="M969" s="12"/>
      <c r="N969" s="12"/>
    </row>
    <row r="970">
      <c r="E970" s="12"/>
      <c r="G970" s="12"/>
      <c r="H970" s="12"/>
      <c r="I970" s="12"/>
      <c r="J970" s="12"/>
      <c r="K970" s="12"/>
      <c r="L970" s="12"/>
      <c r="M970" s="12"/>
      <c r="N970" s="12"/>
    </row>
    <row r="971">
      <c r="E971" s="12"/>
      <c r="G971" s="12"/>
      <c r="H971" s="12"/>
      <c r="I971" s="12"/>
      <c r="J971" s="12"/>
      <c r="K971" s="12"/>
      <c r="L971" s="12"/>
      <c r="M971" s="12"/>
      <c r="N971" s="12"/>
    </row>
    <row r="972">
      <c r="E972" s="12"/>
      <c r="G972" s="12"/>
      <c r="H972" s="12"/>
      <c r="I972" s="12"/>
      <c r="J972" s="12"/>
      <c r="K972" s="12"/>
      <c r="L972" s="12"/>
      <c r="M972" s="12"/>
      <c r="N972" s="12"/>
    </row>
    <row r="973">
      <c r="E973" s="12"/>
      <c r="G973" s="12"/>
      <c r="H973" s="12"/>
      <c r="I973" s="12"/>
      <c r="J973" s="12"/>
      <c r="K973" s="12"/>
      <c r="L973" s="12"/>
      <c r="M973" s="12"/>
      <c r="N973" s="12"/>
    </row>
    <row r="974">
      <c r="E974" s="12"/>
      <c r="G974" s="12"/>
      <c r="H974" s="12"/>
      <c r="I974" s="12"/>
      <c r="J974" s="12"/>
      <c r="K974" s="12"/>
      <c r="L974" s="12"/>
      <c r="M974" s="12"/>
      <c r="N974" s="12"/>
    </row>
    <row r="975">
      <c r="E975" s="12"/>
      <c r="G975" s="12"/>
      <c r="H975" s="12"/>
      <c r="I975" s="12"/>
      <c r="J975" s="12"/>
      <c r="K975" s="12"/>
      <c r="L975" s="12"/>
      <c r="M975" s="12"/>
      <c r="N975" s="12"/>
    </row>
    <row r="976">
      <c r="E976" s="12"/>
      <c r="G976" s="12"/>
      <c r="H976" s="12"/>
      <c r="I976" s="12"/>
      <c r="J976" s="12"/>
      <c r="K976" s="12"/>
      <c r="L976" s="12"/>
      <c r="M976" s="12"/>
      <c r="N976" s="12"/>
    </row>
    <row r="977">
      <c r="E977" s="12"/>
      <c r="G977" s="12"/>
      <c r="H977" s="12"/>
      <c r="I977" s="12"/>
      <c r="J977" s="12"/>
      <c r="K977" s="12"/>
      <c r="L977" s="12"/>
      <c r="M977" s="12"/>
      <c r="N977" s="12"/>
    </row>
    <row r="978">
      <c r="E978" s="12"/>
      <c r="G978" s="12"/>
      <c r="H978" s="12"/>
      <c r="I978" s="12"/>
      <c r="J978" s="12"/>
      <c r="K978" s="12"/>
      <c r="L978" s="12"/>
      <c r="M978" s="12"/>
      <c r="N978" s="12"/>
    </row>
    <row r="979">
      <c r="E979" s="12"/>
      <c r="G979" s="12"/>
      <c r="H979" s="12"/>
      <c r="I979" s="12"/>
      <c r="J979" s="12"/>
      <c r="K979" s="12"/>
      <c r="L979" s="12"/>
      <c r="M979" s="12"/>
      <c r="N979" s="12"/>
    </row>
    <row r="980">
      <c r="E980" s="12"/>
      <c r="G980" s="12"/>
      <c r="H980" s="12"/>
      <c r="I980" s="12"/>
      <c r="J980" s="12"/>
      <c r="K980" s="12"/>
      <c r="L980" s="12"/>
      <c r="M980" s="12"/>
      <c r="N980" s="12"/>
    </row>
    <row r="981">
      <c r="E981" s="12"/>
      <c r="G981" s="12"/>
      <c r="H981" s="12"/>
      <c r="I981" s="12"/>
      <c r="J981" s="12"/>
      <c r="K981" s="12"/>
      <c r="L981" s="12"/>
      <c r="M981" s="12"/>
      <c r="N981" s="12"/>
    </row>
    <row r="982">
      <c r="E982" s="12"/>
      <c r="G982" s="12"/>
      <c r="H982" s="12"/>
      <c r="I982" s="12"/>
      <c r="J982" s="12"/>
      <c r="K982" s="12"/>
      <c r="L982" s="12"/>
      <c r="M982" s="12"/>
      <c r="N982" s="12"/>
    </row>
    <row r="983">
      <c r="E983" s="12"/>
      <c r="G983" s="12"/>
      <c r="H983" s="12"/>
      <c r="I983" s="12"/>
      <c r="J983" s="12"/>
      <c r="K983" s="12"/>
      <c r="L983" s="12"/>
      <c r="M983" s="12"/>
      <c r="N983" s="12"/>
    </row>
    <row r="984">
      <c r="E984" s="12"/>
      <c r="G984" s="12"/>
      <c r="H984" s="12"/>
      <c r="I984" s="12"/>
      <c r="J984" s="12"/>
      <c r="K984" s="12"/>
      <c r="L984" s="12"/>
      <c r="M984" s="12"/>
      <c r="N984" s="12"/>
    </row>
    <row r="985">
      <c r="E985" s="12"/>
      <c r="G985" s="12"/>
      <c r="H985" s="12"/>
      <c r="I985" s="12"/>
      <c r="J985" s="12"/>
      <c r="K985" s="12"/>
      <c r="L985" s="12"/>
      <c r="M985" s="12"/>
      <c r="N985" s="12"/>
    </row>
    <row r="986">
      <c r="E986" s="12"/>
      <c r="G986" s="12"/>
      <c r="H986" s="12"/>
      <c r="I986" s="12"/>
      <c r="J986" s="12"/>
      <c r="K986" s="12"/>
      <c r="L986" s="12"/>
      <c r="M986" s="12"/>
      <c r="N986" s="12"/>
    </row>
    <row r="987">
      <c r="E987" s="12"/>
      <c r="G987" s="12"/>
      <c r="H987" s="12"/>
      <c r="I987" s="12"/>
      <c r="J987" s="12"/>
      <c r="K987" s="12"/>
      <c r="L987" s="12"/>
      <c r="M987" s="12"/>
      <c r="N987" s="12"/>
    </row>
    <row r="988">
      <c r="E988" s="12"/>
      <c r="G988" s="12"/>
      <c r="H988" s="12"/>
      <c r="I988" s="12"/>
      <c r="J988" s="12"/>
      <c r="K988" s="12"/>
      <c r="L988" s="12"/>
      <c r="M988" s="12"/>
      <c r="N988" s="12"/>
    </row>
    <row r="989">
      <c r="E989" s="12"/>
      <c r="G989" s="12"/>
      <c r="H989" s="12"/>
      <c r="I989" s="12"/>
      <c r="J989" s="12"/>
      <c r="K989" s="12"/>
      <c r="L989" s="12"/>
      <c r="M989" s="12"/>
      <c r="N989" s="12"/>
    </row>
    <row r="990">
      <c r="E990" s="12"/>
      <c r="G990" s="12"/>
      <c r="H990" s="12"/>
      <c r="I990" s="12"/>
      <c r="J990" s="12"/>
      <c r="K990" s="12"/>
      <c r="L990" s="12"/>
      <c r="M990" s="12"/>
      <c r="N990" s="12"/>
    </row>
    <row r="991">
      <c r="E991" s="12"/>
      <c r="G991" s="12"/>
      <c r="H991" s="12"/>
      <c r="I991" s="12"/>
      <c r="J991" s="12"/>
      <c r="K991" s="12"/>
      <c r="L991" s="12"/>
      <c r="M991" s="12"/>
      <c r="N991" s="12"/>
    </row>
    <row r="992">
      <c r="E992" s="12"/>
      <c r="G992" s="12"/>
      <c r="H992" s="12"/>
      <c r="I992" s="12"/>
      <c r="J992" s="12"/>
      <c r="K992" s="12"/>
      <c r="L992" s="12"/>
      <c r="M992" s="12"/>
      <c r="N992" s="12"/>
    </row>
    <row r="993">
      <c r="E993" s="12"/>
      <c r="G993" s="12"/>
      <c r="H993" s="12"/>
      <c r="I993" s="12"/>
      <c r="J993" s="12"/>
      <c r="K993" s="12"/>
      <c r="L993" s="12"/>
      <c r="M993" s="12"/>
      <c r="N993" s="12"/>
    </row>
    <row r="994">
      <c r="E994" s="12"/>
      <c r="G994" s="12"/>
      <c r="H994" s="12"/>
      <c r="I994" s="12"/>
      <c r="J994" s="12"/>
      <c r="K994" s="12"/>
      <c r="L994" s="12"/>
      <c r="M994" s="12"/>
      <c r="N994" s="12"/>
    </row>
    <row r="995">
      <c r="E995" s="12"/>
      <c r="G995" s="12"/>
      <c r="H995" s="12"/>
      <c r="I995" s="12"/>
      <c r="J995" s="12"/>
      <c r="K995" s="12"/>
      <c r="L995" s="12"/>
      <c r="M995" s="12"/>
      <c r="N995" s="12"/>
    </row>
    <row r="996">
      <c r="E996" s="12"/>
      <c r="G996" s="12"/>
      <c r="H996" s="12"/>
      <c r="I996" s="12"/>
      <c r="J996" s="12"/>
      <c r="K996" s="12"/>
      <c r="L996" s="12"/>
      <c r="M996" s="12"/>
      <c r="N996" s="12"/>
    </row>
    <row r="997">
      <c r="E997" s="12"/>
      <c r="G997" s="12"/>
      <c r="H997" s="12"/>
      <c r="I997" s="12"/>
      <c r="J997" s="12"/>
      <c r="K997" s="12"/>
      <c r="L997" s="12"/>
      <c r="M997" s="12"/>
      <c r="N997" s="12"/>
    </row>
    <row r="998">
      <c r="E998" s="12"/>
      <c r="G998" s="12"/>
      <c r="H998" s="12"/>
      <c r="I998" s="12"/>
      <c r="J998" s="12"/>
      <c r="K998" s="12"/>
      <c r="L998" s="12"/>
      <c r="M998" s="12"/>
      <c r="N998" s="12"/>
    </row>
    <row r="999">
      <c r="E999" s="12"/>
      <c r="G999" s="12"/>
      <c r="H999" s="12"/>
      <c r="I999" s="12"/>
      <c r="J999" s="12"/>
      <c r="K999" s="12"/>
      <c r="L999" s="12"/>
      <c r="M999" s="12"/>
      <c r="N999" s="12"/>
    </row>
    <row r="1000">
      <c r="E1000" s="12"/>
      <c r="G1000" s="12"/>
      <c r="H1000" s="12"/>
      <c r="I1000" s="12"/>
      <c r="J1000" s="12"/>
      <c r="K1000" s="12"/>
      <c r="L1000" s="12"/>
      <c r="M1000" s="12"/>
      <c r="N1000" s="12"/>
    </row>
  </sheetData>
  <conditionalFormatting sqref="G2:N10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</cols>
  <sheetData>
    <row r="1">
      <c r="E1" s="9"/>
      <c r="F1" s="9"/>
    </row>
    <row r="2">
      <c r="A2">
        <f>Results!A1</f>
        <v>5</v>
      </c>
      <c r="B2" s="14">
        <f>Results!B1</f>
        <v>46184</v>
      </c>
      <c r="C2" s="15">
        <f>Results!C1</f>
        <v>0.8333333333</v>
      </c>
      <c r="D2" t="str">
        <f>Results!E1</f>
        <v>Mexico</v>
      </c>
      <c r="E2" s="9">
        <v>2.0</v>
      </c>
      <c r="F2" s="9">
        <v>0.0</v>
      </c>
      <c r="G2" t="str">
        <f>Results!H1</f>
        <v>South Africa</v>
      </c>
      <c r="H2">
        <f t="shared" ref="H2:H105" si="1">E2-F2</f>
        <v>2</v>
      </c>
      <c r="I2">
        <f>if(Results!I1="-",0,IF(OR(AND(H2&gt;0,Results!J1&gt;0),AND(H2&lt;0,Results!J1&lt;0),AND(H2=0,Results!J1=0)),1,0))</f>
        <v>1</v>
      </c>
      <c r="J2">
        <f>IF(K2="-",0,if(K2=Results!I1,3,0))</f>
        <v>3</v>
      </c>
      <c r="K2" t="str">
        <f t="shared" ref="K2:K105" si="2">E2&amp;"-"&amp;F2</f>
        <v>2-0</v>
      </c>
      <c r="L2">
        <f t="shared" ref="L2:L105" si="3">MAX(I2,J2)</f>
        <v>3</v>
      </c>
    </row>
    <row r="3">
      <c r="A3">
        <f>Results!A2</f>
        <v>6</v>
      </c>
      <c r="B3" s="14">
        <f>Results!B2</f>
        <v>46185</v>
      </c>
      <c r="C3" s="15">
        <f>Results!C2</f>
        <v>0.125</v>
      </c>
      <c r="D3" t="str">
        <f>Results!E2</f>
        <v>South Korea</v>
      </c>
      <c r="E3" s="9">
        <v>0.0</v>
      </c>
      <c r="F3" s="9">
        <v>2.0</v>
      </c>
      <c r="G3" t="str">
        <f>Results!H2</f>
        <v>Czech Republic</v>
      </c>
      <c r="H3">
        <f t="shared" si="1"/>
        <v>-2</v>
      </c>
      <c r="I3">
        <f>if(Results!I2="-",0,IF(OR(AND(H3&gt;0,Results!J2&gt;0),AND(H3&lt;0,Results!J2&lt;0),AND(H3=0,Results!J2=0)),1,0))</f>
        <v>0</v>
      </c>
      <c r="J3">
        <f>IF(K3="-",0,if(K3=Results!I2,3,0))</f>
        <v>0</v>
      </c>
      <c r="K3" t="str">
        <f t="shared" si="2"/>
        <v>0-2</v>
      </c>
      <c r="L3">
        <f t="shared" si="3"/>
        <v>0</v>
      </c>
    </row>
    <row r="4">
      <c r="A4">
        <f>Results!A3</f>
        <v>6</v>
      </c>
      <c r="B4" s="14">
        <f>Results!B3</f>
        <v>46185</v>
      </c>
      <c r="C4" s="15">
        <f>Results!C3</f>
        <v>0.8333333333</v>
      </c>
      <c r="D4" t="str">
        <f>Results!E3</f>
        <v>Canada</v>
      </c>
      <c r="E4" s="9">
        <v>0.0</v>
      </c>
      <c r="F4" s="9">
        <v>0.0</v>
      </c>
      <c r="G4" t="str">
        <f>Results!H3</f>
        <v>Bosnia and Herzegovina</v>
      </c>
      <c r="H4">
        <f t="shared" si="1"/>
        <v>0</v>
      </c>
      <c r="I4">
        <f>if(Results!I3="-",0,IF(OR(AND(H4&gt;0,Results!J3&gt;0),AND(H4&lt;0,Results!J3&lt;0),AND(H4=0,Results!J3=0)),1,0))</f>
        <v>1</v>
      </c>
      <c r="J4">
        <f>IF(K4="-",0,if(K4=Results!I3,3,0))</f>
        <v>0</v>
      </c>
      <c r="K4" t="str">
        <f t="shared" si="2"/>
        <v>0-0</v>
      </c>
      <c r="L4">
        <f t="shared" si="3"/>
        <v>1</v>
      </c>
    </row>
    <row r="5">
      <c r="A5">
        <f>Results!A4</f>
        <v>7</v>
      </c>
      <c r="B5" s="14">
        <f>Results!B4</f>
        <v>46186</v>
      </c>
      <c r="C5" s="15">
        <f>Results!C4</f>
        <v>0.08333333333</v>
      </c>
      <c r="D5" t="str">
        <f>Results!E4</f>
        <v>USA</v>
      </c>
      <c r="E5" s="9">
        <v>1.0</v>
      </c>
      <c r="F5" s="9">
        <v>0.0</v>
      </c>
      <c r="G5" t="str">
        <f>Results!H4</f>
        <v>Paraguay</v>
      </c>
      <c r="H5">
        <f t="shared" si="1"/>
        <v>1</v>
      </c>
      <c r="I5">
        <f>if(Results!I4="-",0,IF(OR(AND(H5&gt;0,Results!J4&gt;0),AND(H5&lt;0,Results!J4&lt;0),AND(H5=0,Results!J4=0)),1,0))</f>
        <v>1</v>
      </c>
      <c r="J5">
        <f>IF(K5="-",0,if(K5=Results!I4,3,0))</f>
        <v>0</v>
      </c>
      <c r="K5" t="str">
        <f t="shared" si="2"/>
        <v>1-0</v>
      </c>
      <c r="L5">
        <f t="shared" si="3"/>
        <v>1</v>
      </c>
    </row>
    <row r="6">
      <c r="A6">
        <f>Results!A5</f>
        <v>7</v>
      </c>
      <c r="B6" s="14">
        <f>Results!B5</f>
        <v>46186</v>
      </c>
      <c r="C6" s="15">
        <f>Results!C5</f>
        <v>0.8333333333</v>
      </c>
      <c r="D6" t="str">
        <f>Results!E5</f>
        <v>Qatar</v>
      </c>
      <c r="E6" s="9">
        <v>0.0</v>
      </c>
      <c r="F6" s="9">
        <v>3.0</v>
      </c>
      <c r="G6" t="str">
        <f>Results!H5</f>
        <v>Switzerland</v>
      </c>
      <c r="H6">
        <f t="shared" si="1"/>
        <v>-3</v>
      </c>
      <c r="I6">
        <f>if(Results!I5="-",0,IF(OR(AND(H6&gt;0,Results!J5&gt;0),AND(H6&lt;0,Results!J5&lt;0),AND(H6=0,Results!J5=0)),1,0))</f>
        <v>0</v>
      </c>
      <c r="J6">
        <f>IF(K6="-",0,if(K6=Results!I5,3,0))</f>
        <v>0</v>
      </c>
      <c r="K6" t="str">
        <f t="shared" si="2"/>
        <v>0-3</v>
      </c>
      <c r="L6">
        <f t="shared" si="3"/>
        <v>0</v>
      </c>
    </row>
    <row r="7">
      <c r="A7">
        <f>Results!A6</f>
        <v>7</v>
      </c>
      <c r="B7" s="14">
        <f>Results!B6</f>
        <v>46186</v>
      </c>
      <c r="C7" s="15">
        <f>Results!C6</f>
        <v>0.9583333333</v>
      </c>
      <c r="D7" t="str">
        <f>Results!E6</f>
        <v>Brazil</v>
      </c>
      <c r="E7" s="9">
        <v>3.0</v>
      </c>
      <c r="F7" s="9">
        <v>1.0</v>
      </c>
      <c r="G7" t="str">
        <f>Results!H6</f>
        <v>Morocco</v>
      </c>
      <c r="H7">
        <f t="shared" si="1"/>
        <v>2</v>
      </c>
      <c r="I7">
        <f>if(Results!I6="-",0,IF(OR(AND(H7&gt;0,Results!J6&gt;0),AND(H7&lt;0,Results!J6&lt;0),AND(H7=0,Results!J6=0)),1,0))</f>
        <v>0</v>
      </c>
      <c r="J7">
        <f>IF(K7="-",0,if(K7=Results!I6,3,0))</f>
        <v>0</v>
      </c>
      <c r="K7" t="str">
        <f t="shared" si="2"/>
        <v>3-1</v>
      </c>
      <c r="L7">
        <f t="shared" si="3"/>
        <v>0</v>
      </c>
    </row>
    <row r="8">
      <c r="A8">
        <f>Results!A7</f>
        <v>1</v>
      </c>
      <c r="B8" s="14">
        <f>Results!B7</f>
        <v>46187</v>
      </c>
      <c r="C8" s="15">
        <f>Results!C7</f>
        <v>0.08333333333</v>
      </c>
      <c r="D8" t="str">
        <f>Results!E7</f>
        <v>Haiti</v>
      </c>
      <c r="E8" s="9">
        <v>0.0</v>
      </c>
      <c r="F8" s="9">
        <v>2.0</v>
      </c>
      <c r="G8" t="str">
        <f>Results!H7</f>
        <v>Scotland</v>
      </c>
      <c r="H8">
        <f t="shared" si="1"/>
        <v>-2</v>
      </c>
      <c r="I8">
        <f>if(Results!I7="-",0,IF(OR(AND(H8&gt;0,Results!J7&gt;0),AND(H8&lt;0,Results!J7&lt;0),AND(H8=0,Results!J7=0)),1,0))</f>
        <v>1</v>
      </c>
      <c r="J8">
        <f>IF(K8="-",0,if(K8=Results!I7,3,0))</f>
        <v>0</v>
      </c>
      <c r="K8" t="str">
        <f t="shared" si="2"/>
        <v>0-2</v>
      </c>
      <c r="L8">
        <f t="shared" si="3"/>
        <v>1</v>
      </c>
    </row>
    <row r="9">
      <c r="A9">
        <f>Results!A8</f>
        <v>1</v>
      </c>
      <c r="B9" s="14">
        <f>Results!B8</f>
        <v>46187</v>
      </c>
      <c r="C9" s="15">
        <f>Results!C8</f>
        <v>0.2083333333</v>
      </c>
      <c r="D9" t="str">
        <f>Results!E8</f>
        <v>Australia</v>
      </c>
      <c r="E9" s="9">
        <v>1.0</v>
      </c>
      <c r="F9" s="9">
        <v>1.0</v>
      </c>
      <c r="G9" t="str">
        <f>Results!H8</f>
        <v>Türkiye</v>
      </c>
      <c r="H9">
        <f t="shared" si="1"/>
        <v>0</v>
      </c>
      <c r="I9">
        <f>if(Results!I8="-",0,IF(OR(AND(H9&gt;0,Results!J8&gt;0),AND(H9&lt;0,Results!J8&lt;0),AND(H9=0,Results!J8=0)),1,0))</f>
        <v>0</v>
      </c>
      <c r="J9">
        <f>IF(K9="-",0,if(K9=Results!I8,3,0))</f>
        <v>0</v>
      </c>
      <c r="K9" t="str">
        <f t="shared" si="2"/>
        <v>1-1</v>
      </c>
      <c r="L9">
        <f t="shared" si="3"/>
        <v>0</v>
      </c>
    </row>
    <row r="10">
      <c r="A10">
        <f>Results!A9</f>
        <v>1</v>
      </c>
      <c r="B10" s="14">
        <f>Results!B9</f>
        <v>46187</v>
      </c>
      <c r="C10" s="15">
        <f>Results!C9</f>
        <v>0.75</v>
      </c>
      <c r="D10" t="str">
        <f>Results!E9</f>
        <v>Germany</v>
      </c>
      <c r="E10" s="9">
        <v>2.0</v>
      </c>
      <c r="F10" s="9">
        <v>0.0</v>
      </c>
      <c r="G10" t="str">
        <f>Results!H9</f>
        <v>Curaçao</v>
      </c>
      <c r="H10">
        <f t="shared" si="1"/>
        <v>2</v>
      </c>
      <c r="I10">
        <f>if(Results!I9="-",0,IF(OR(AND(H10&gt;0,Results!J9&gt;0),AND(H10&lt;0,Results!J9&lt;0),AND(H10=0,Results!J9=0)),1,0))</f>
        <v>1</v>
      </c>
      <c r="J10">
        <f>IF(K10="-",0,if(K10=Results!I9,3,0))</f>
        <v>0</v>
      </c>
      <c r="K10" t="str">
        <f t="shared" si="2"/>
        <v>2-0</v>
      </c>
      <c r="L10">
        <f t="shared" si="3"/>
        <v>1</v>
      </c>
    </row>
    <row r="11">
      <c r="A11">
        <f>Results!A10</f>
        <v>1</v>
      </c>
      <c r="B11" s="14">
        <f>Results!B10</f>
        <v>46187</v>
      </c>
      <c r="C11" s="15">
        <f>Results!C10</f>
        <v>0.875</v>
      </c>
      <c r="D11" t="str">
        <f>Results!E10</f>
        <v>Netherlands</v>
      </c>
      <c r="E11" s="9">
        <v>2.0</v>
      </c>
      <c r="F11" s="9">
        <v>1.0</v>
      </c>
      <c r="G11" t="str">
        <f>Results!H10</f>
        <v>Japan</v>
      </c>
      <c r="H11">
        <f t="shared" si="1"/>
        <v>1</v>
      </c>
      <c r="I11">
        <f>if(Results!I10="-",0,IF(OR(AND(H11&gt;0,Results!J10&gt;0),AND(H11&lt;0,Results!J10&lt;0),AND(H11=0,Results!J10=0)),1,0))</f>
        <v>0</v>
      </c>
      <c r="J11">
        <f>IF(K11="-",0,if(K11=Results!I10,3,0))</f>
        <v>0</v>
      </c>
      <c r="K11" t="str">
        <f t="shared" si="2"/>
        <v>2-1</v>
      </c>
      <c r="L11">
        <f t="shared" si="3"/>
        <v>0</v>
      </c>
    </row>
    <row r="12">
      <c r="A12">
        <f>Results!A11</f>
        <v>2</v>
      </c>
      <c r="B12" s="14">
        <f>Results!B11</f>
        <v>46188</v>
      </c>
      <c r="C12" s="15">
        <f>Results!C11</f>
        <v>0</v>
      </c>
      <c r="D12" t="str">
        <f>Results!E11</f>
        <v>Ivory Coast</v>
      </c>
      <c r="E12" s="9">
        <v>1.0</v>
      </c>
      <c r="F12" s="9">
        <v>1.0</v>
      </c>
      <c r="G12" t="str">
        <f>Results!H11</f>
        <v>Ecuador</v>
      </c>
      <c r="H12">
        <f t="shared" si="1"/>
        <v>0</v>
      </c>
      <c r="I12">
        <f>if(Results!I11="-",0,IF(OR(AND(H12&gt;0,Results!J11&gt;0),AND(H12&lt;0,Results!J11&lt;0),AND(H12=0,Results!J11=0)),1,0))</f>
        <v>0</v>
      </c>
      <c r="J12">
        <f>IF(K12="-",0,if(K12=Results!I11,3,0))</f>
        <v>0</v>
      </c>
      <c r="K12" t="str">
        <f t="shared" si="2"/>
        <v>1-1</v>
      </c>
      <c r="L12">
        <f t="shared" si="3"/>
        <v>0</v>
      </c>
    </row>
    <row r="13">
      <c r="A13">
        <f>Results!A12</f>
        <v>2</v>
      </c>
      <c r="B13" s="14">
        <f>Results!B12</f>
        <v>46188</v>
      </c>
      <c r="C13" s="15">
        <f>Results!C12</f>
        <v>0.125</v>
      </c>
      <c r="D13" t="str">
        <f>Results!E12</f>
        <v>Sweden</v>
      </c>
      <c r="E13" s="9">
        <v>2.0</v>
      </c>
      <c r="F13" s="9">
        <v>1.0</v>
      </c>
      <c r="G13" t="str">
        <f>Results!H12</f>
        <v>Tunisia</v>
      </c>
      <c r="H13">
        <f t="shared" si="1"/>
        <v>1</v>
      </c>
      <c r="I13">
        <f>if(Results!I12="-",0,IF(OR(AND(H13&gt;0,Results!J12&gt;0),AND(H13&lt;0,Results!J12&lt;0),AND(H13=0,Results!J12=0)),1,0))</f>
        <v>1</v>
      </c>
      <c r="J13">
        <f>IF(K13="-",0,if(K13=Results!I12,3,0))</f>
        <v>0</v>
      </c>
      <c r="K13" t="str">
        <f t="shared" si="2"/>
        <v>2-1</v>
      </c>
      <c r="L13">
        <f t="shared" si="3"/>
        <v>1</v>
      </c>
    </row>
    <row r="14">
      <c r="A14">
        <f>Results!A13</f>
        <v>2</v>
      </c>
      <c r="B14" s="14">
        <f>Results!B13</f>
        <v>46188</v>
      </c>
      <c r="C14" s="15">
        <f>Results!C13</f>
        <v>0.7083333333</v>
      </c>
      <c r="D14" t="str">
        <f>Results!E13</f>
        <v>Spain</v>
      </c>
      <c r="E14" s="9">
        <v>4.0</v>
      </c>
      <c r="F14" s="9">
        <v>1.0</v>
      </c>
      <c r="G14" t="str">
        <f>Results!H13</f>
        <v>Cape Verde</v>
      </c>
      <c r="H14">
        <f t="shared" si="1"/>
        <v>3</v>
      </c>
      <c r="I14">
        <f>if(Results!I13="-",0,IF(OR(AND(H14&gt;0,Results!J13&gt;0),AND(H14&lt;0,Results!J13&lt;0),AND(H14=0,Results!J13=0)),1,0))</f>
        <v>0</v>
      </c>
      <c r="J14">
        <f>IF(K14="-",0,if(K14=Results!I13,3,0))</f>
        <v>0</v>
      </c>
      <c r="K14" t="str">
        <f t="shared" si="2"/>
        <v>4-1</v>
      </c>
      <c r="L14">
        <f t="shared" si="3"/>
        <v>0</v>
      </c>
    </row>
    <row r="15">
      <c r="A15">
        <f>Results!A14</f>
        <v>2</v>
      </c>
      <c r="B15" s="14">
        <f>Results!B14</f>
        <v>46188</v>
      </c>
      <c r="C15" s="15">
        <f>Results!C14</f>
        <v>0.8333333333</v>
      </c>
      <c r="D15" t="str">
        <f>Results!E14</f>
        <v>Belgium</v>
      </c>
      <c r="E15" s="9">
        <v>2.0</v>
      </c>
      <c r="F15" s="9">
        <v>1.0</v>
      </c>
      <c r="G15" t="str">
        <f>Results!H14</f>
        <v>Egypt</v>
      </c>
      <c r="H15">
        <f t="shared" si="1"/>
        <v>1</v>
      </c>
      <c r="I15">
        <f>if(Results!I14="-",0,IF(OR(AND(H15&gt;0,Results!J14&gt;0),AND(H15&lt;0,Results!J14&lt;0),AND(H15=0,Results!J14=0)),1,0))</f>
        <v>0</v>
      </c>
      <c r="J15">
        <f>IF(K15="-",0,if(K15=Results!I14,3,0))</f>
        <v>0</v>
      </c>
      <c r="K15" t="str">
        <f t="shared" si="2"/>
        <v>2-1</v>
      </c>
      <c r="L15">
        <f t="shared" si="3"/>
        <v>0</v>
      </c>
    </row>
    <row r="16">
      <c r="A16">
        <f>Results!A15</f>
        <v>2</v>
      </c>
      <c r="B16" s="14">
        <f>Results!B15</f>
        <v>46188</v>
      </c>
      <c r="C16" s="15">
        <f>Results!C15</f>
        <v>0.9583333333</v>
      </c>
      <c r="D16" t="str">
        <f>Results!E15</f>
        <v>Saudi Arabia</v>
      </c>
      <c r="E16" s="9">
        <v>1.0</v>
      </c>
      <c r="F16" s="9">
        <v>2.0</v>
      </c>
      <c r="G16" t="str">
        <f>Results!H15</f>
        <v>Uruguay</v>
      </c>
      <c r="H16">
        <f t="shared" si="1"/>
        <v>-1</v>
      </c>
      <c r="I16">
        <f>if(Results!I15="-",0,IF(OR(AND(H16&gt;0,Results!J15&gt;0),AND(H16&lt;0,Results!J15&lt;0),AND(H16=0,Results!J15=0)),1,0))</f>
        <v>0</v>
      </c>
      <c r="J16">
        <f>IF(K16="-",0,if(K16=Results!I15,3,0))</f>
        <v>0</v>
      </c>
      <c r="K16" t="str">
        <f t="shared" si="2"/>
        <v>1-2</v>
      </c>
      <c r="L16">
        <f t="shared" si="3"/>
        <v>0</v>
      </c>
    </row>
    <row r="17">
      <c r="A17">
        <f>Results!A16</f>
        <v>3</v>
      </c>
      <c r="B17" s="14">
        <f>Results!B16</f>
        <v>46189</v>
      </c>
      <c r="C17" s="15">
        <f>Results!C16</f>
        <v>0.08333333333</v>
      </c>
      <c r="D17" t="str">
        <f>Results!E16</f>
        <v>Iran</v>
      </c>
      <c r="E17" s="9">
        <v>1.0</v>
      </c>
      <c r="F17" s="9">
        <v>1.0</v>
      </c>
      <c r="G17" t="str">
        <f>Results!H16</f>
        <v>New Zealand</v>
      </c>
      <c r="H17">
        <f t="shared" si="1"/>
        <v>0</v>
      </c>
      <c r="I17">
        <f>if(Results!I16="-",0,IF(OR(AND(H17&gt;0,Results!J16&gt;0),AND(H17&lt;0,Results!J16&lt;0),AND(H17=0,Results!J16=0)),1,0))</f>
        <v>1</v>
      </c>
      <c r="J17">
        <f>IF(K17="-",0,if(K17=Results!I16,3,0))</f>
        <v>0</v>
      </c>
      <c r="K17" t="str">
        <f t="shared" si="2"/>
        <v>1-1</v>
      </c>
      <c r="L17">
        <f t="shared" si="3"/>
        <v>1</v>
      </c>
    </row>
    <row r="18">
      <c r="A18">
        <f>Results!A17</f>
        <v>3</v>
      </c>
      <c r="B18" s="14">
        <f>Results!B17</f>
        <v>46189</v>
      </c>
      <c r="C18" s="15">
        <f>Results!C17</f>
        <v>0.8333333333</v>
      </c>
      <c r="D18" t="str">
        <f>Results!E17</f>
        <v>France</v>
      </c>
      <c r="E18" s="9">
        <v>2.0</v>
      </c>
      <c r="F18" s="9">
        <v>0.0</v>
      </c>
      <c r="G18" t="str">
        <f>Results!H17</f>
        <v>Senegal</v>
      </c>
      <c r="H18">
        <f t="shared" si="1"/>
        <v>2</v>
      </c>
      <c r="I18">
        <f>if(Results!I17="-",0,IF(OR(AND(H18&gt;0,Results!J17&gt;0),AND(H18&lt;0,Results!J17&lt;0),AND(H18=0,Results!J17=0)),1,0))</f>
        <v>1</v>
      </c>
      <c r="J18">
        <f>IF(K18="-",0,if(K18=Results!I17,3,0))</f>
        <v>0</v>
      </c>
      <c r="K18" t="str">
        <f t="shared" si="2"/>
        <v>2-0</v>
      </c>
      <c r="L18">
        <f t="shared" si="3"/>
        <v>1</v>
      </c>
    </row>
    <row r="19">
      <c r="A19">
        <f>Results!A18</f>
        <v>3</v>
      </c>
      <c r="B19" s="14">
        <f>Results!B18</f>
        <v>46189</v>
      </c>
      <c r="C19" s="15">
        <f>Results!C18</f>
        <v>0.9583333333</v>
      </c>
      <c r="D19" t="str">
        <f>Results!E18</f>
        <v>Iraq</v>
      </c>
      <c r="E19" s="9">
        <v>0.0</v>
      </c>
      <c r="F19" s="9">
        <v>1.0</v>
      </c>
      <c r="G19" t="str">
        <f>Results!H18</f>
        <v>Norway</v>
      </c>
      <c r="H19">
        <f t="shared" si="1"/>
        <v>-1</v>
      </c>
      <c r="I19">
        <f>if(Results!I18="-",0,IF(OR(AND(H19&gt;0,Results!J18&gt;0),AND(H19&lt;0,Results!J18&lt;0),AND(H19=0,Results!J18=0)),1,0))</f>
        <v>1</v>
      </c>
      <c r="J19">
        <f>IF(K19="-",0,if(K19=Results!I18,3,0))</f>
        <v>0</v>
      </c>
      <c r="K19" t="str">
        <f t="shared" si="2"/>
        <v>0-1</v>
      </c>
      <c r="L19">
        <f t="shared" si="3"/>
        <v>1</v>
      </c>
    </row>
    <row r="20">
      <c r="A20">
        <f>Results!A19</f>
        <v>4</v>
      </c>
      <c r="B20" s="14">
        <f>Results!B19</f>
        <v>46190</v>
      </c>
      <c r="C20" s="15">
        <f>Results!C19</f>
        <v>0.08333333333</v>
      </c>
      <c r="D20" t="str">
        <f>Results!E19</f>
        <v>Argentina</v>
      </c>
      <c r="E20" s="9">
        <v>2.0</v>
      </c>
      <c r="F20" s="9">
        <v>1.0</v>
      </c>
      <c r="G20" t="str">
        <f>Results!H19</f>
        <v>Algeria</v>
      </c>
      <c r="H20">
        <f t="shared" si="1"/>
        <v>1</v>
      </c>
      <c r="I20">
        <f>if(Results!I19="-",0,IF(OR(AND(H20&gt;0,Results!J19&gt;0),AND(H20&lt;0,Results!J19&lt;0),AND(H20=0,Results!J19=0)),1,0))</f>
        <v>1</v>
      </c>
      <c r="J20">
        <f>IF(K20="-",0,if(K20=Results!I19,3,0))</f>
        <v>0</v>
      </c>
      <c r="K20" t="str">
        <f t="shared" si="2"/>
        <v>2-1</v>
      </c>
      <c r="L20">
        <f t="shared" si="3"/>
        <v>1</v>
      </c>
    </row>
    <row r="21">
      <c r="A21">
        <f>Results!A20</f>
        <v>4</v>
      </c>
      <c r="B21" s="14">
        <f>Results!B20</f>
        <v>46190</v>
      </c>
      <c r="C21" s="15">
        <f>Results!C20</f>
        <v>0.2083333333</v>
      </c>
      <c r="D21" t="str">
        <f>Results!E20</f>
        <v>Austria</v>
      </c>
      <c r="E21" s="9">
        <v>2.0</v>
      </c>
      <c r="F21" s="9">
        <v>0.0</v>
      </c>
      <c r="G21" t="str">
        <f>Results!H20</f>
        <v>Jordan</v>
      </c>
      <c r="H21">
        <f t="shared" si="1"/>
        <v>2</v>
      </c>
      <c r="I21">
        <f>if(Results!I20="-",0,IF(OR(AND(H21&gt;0,Results!J20&gt;0),AND(H21&lt;0,Results!J20&lt;0),AND(H21=0,Results!J20=0)),1,0))</f>
        <v>1</v>
      </c>
      <c r="J21">
        <f>IF(K21="-",0,if(K21=Results!I20,3,0))</f>
        <v>0</v>
      </c>
      <c r="K21" t="str">
        <f t="shared" si="2"/>
        <v>2-0</v>
      </c>
      <c r="L21">
        <f t="shared" si="3"/>
        <v>1</v>
      </c>
    </row>
    <row r="22">
      <c r="A22">
        <f>Results!A21</f>
        <v>4</v>
      </c>
      <c r="B22" s="14">
        <f>Results!B21</f>
        <v>46190</v>
      </c>
      <c r="C22" s="15">
        <f>Results!C21</f>
        <v>0.75</v>
      </c>
      <c r="D22" t="str">
        <f>Results!E21</f>
        <v>Portugal</v>
      </c>
      <c r="E22" s="9">
        <v>4.0</v>
      </c>
      <c r="F22" s="9">
        <v>0.0</v>
      </c>
      <c r="G22" t="str">
        <f>Results!H21</f>
        <v>Congo DR</v>
      </c>
      <c r="H22">
        <f t="shared" si="1"/>
        <v>4</v>
      </c>
      <c r="I22">
        <f>if(Results!I21="-",0,IF(OR(AND(H22&gt;0,Results!J21&gt;0),AND(H22&lt;0,Results!J21&lt;0),AND(H22=0,Results!J21=0)),1,0))</f>
        <v>0</v>
      </c>
      <c r="J22">
        <f>IF(K22="-",0,if(K22=Results!I21,3,0))</f>
        <v>0</v>
      </c>
      <c r="K22" t="str">
        <f t="shared" si="2"/>
        <v>4-0</v>
      </c>
      <c r="L22">
        <f t="shared" si="3"/>
        <v>0</v>
      </c>
    </row>
    <row r="23">
      <c r="A23">
        <f>Results!A22</f>
        <v>4</v>
      </c>
      <c r="B23" s="14">
        <f>Results!B22</f>
        <v>46190</v>
      </c>
      <c r="C23" s="15">
        <f>Results!C22</f>
        <v>0.875</v>
      </c>
      <c r="D23" t="str">
        <f>Results!E22</f>
        <v>England</v>
      </c>
      <c r="E23" s="9">
        <v>2.0</v>
      </c>
      <c r="F23" s="9">
        <v>0.0</v>
      </c>
      <c r="G23" t="str">
        <f>Results!H22</f>
        <v>Croatia</v>
      </c>
      <c r="H23">
        <f t="shared" si="1"/>
        <v>2</v>
      </c>
      <c r="I23">
        <f>if(Results!I22="-",0,IF(OR(AND(H23&gt;0,Results!J22&gt;0),AND(H23&lt;0,Results!J22&lt;0),AND(H23=0,Results!J22=0)),1,0))</f>
        <v>1</v>
      </c>
      <c r="J23">
        <f>IF(K23="-",0,if(K23=Results!I22,3,0))</f>
        <v>0</v>
      </c>
      <c r="K23" t="str">
        <f t="shared" si="2"/>
        <v>2-0</v>
      </c>
      <c r="L23">
        <f t="shared" si="3"/>
        <v>1</v>
      </c>
    </row>
    <row r="24">
      <c r="A24">
        <f>Results!A23</f>
        <v>5</v>
      </c>
      <c r="B24" s="14">
        <f>Results!B23</f>
        <v>46191</v>
      </c>
      <c r="C24" s="15">
        <f>Results!C23</f>
        <v>0</v>
      </c>
      <c r="D24" t="str">
        <f>Results!E23</f>
        <v>Ghana</v>
      </c>
      <c r="E24" s="9">
        <v>1.0</v>
      </c>
      <c r="F24" s="9">
        <v>0.0</v>
      </c>
      <c r="G24" t="str">
        <f>Results!H23</f>
        <v>Panama</v>
      </c>
      <c r="H24">
        <f t="shared" si="1"/>
        <v>1</v>
      </c>
      <c r="I24">
        <f>if(Results!I23="-",0,IF(OR(AND(H24&gt;0,Results!J23&gt;0),AND(H24&lt;0,Results!J23&lt;0),AND(H24=0,Results!J23=0)),1,0))</f>
        <v>1</v>
      </c>
      <c r="J24">
        <f>IF(K24="-",0,if(K24=Results!I23,3,0))</f>
        <v>3</v>
      </c>
      <c r="K24" t="str">
        <f t="shared" si="2"/>
        <v>1-0</v>
      </c>
      <c r="L24">
        <f t="shared" si="3"/>
        <v>3</v>
      </c>
    </row>
    <row r="25">
      <c r="A25">
        <f>Results!A24</f>
        <v>5</v>
      </c>
      <c r="B25" s="14">
        <f>Results!B24</f>
        <v>46191</v>
      </c>
      <c r="C25" s="15">
        <f>Results!C24</f>
        <v>0.125</v>
      </c>
      <c r="D25" t="str">
        <f>Results!E24</f>
        <v>Uzbekistan</v>
      </c>
      <c r="E25" s="9">
        <v>0.0</v>
      </c>
      <c r="F25" s="9">
        <v>0.0</v>
      </c>
      <c r="G25" t="str">
        <f>Results!H24</f>
        <v>Colombia</v>
      </c>
      <c r="H25">
        <f t="shared" si="1"/>
        <v>0</v>
      </c>
      <c r="I25">
        <f>if(Results!I24="-",0,IF(OR(AND(H25&gt;0,Results!J24&gt;0),AND(H25&lt;0,Results!J24&lt;0),AND(H25=0,Results!J24=0)),1,0))</f>
        <v>0</v>
      </c>
      <c r="J25">
        <f>IF(K25="-",0,if(K25=Results!I24,3,0))</f>
        <v>0</v>
      </c>
      <c r="K25" t="str">
        <f t="shared" si="2"/>
        <v>0-0</v>
      </c>
      <c r="L25">
        <f t="shared" si="3"/>
        <v>0</v>
      </c>
    </row>
    <row r="26">
      <c r="A26">
        <f>Results!A25</f>
        <v>5</v>
      </c>
      <c r="B26" s="14">
        <f>Results!B25</f>
        <v>46191</v>
      </c>
      <c r="C26" s="15">
        <f>Results!C25</f>
        <v>0.7083333333</v>
      </c>
      <c r="D26" t="str">
        <f>Results!E25</f>
        <v>Czechia</v>
      </c>
      <c r="E26" s="9">
        <v>0.0</v>
      </c>
      <c r="F26" s="9">
        <v>0.0</v>
      </c>
      <c r="G26" t="str">
        <f>Results!H25</f>
        <v>South Africa</v>
      </c>
      <c r="H26">
        <f t="shared" si="1"/>
        <v>0</v>
      </c>
      <c r="I26">
        <f>if(Results!I25="-",0,IF(OR(AND(H26&gt;0,Results!J25&gt;0),AND(H26&lt;0,Results!J25&lt;0),AND(H26=0,Results!J25=0)),1,0))</f>
        <v>1</v>
      </c>
      <c r="J26">
        <f>IF(K26="-",0,if(K26=Results!I25,3,0))</f>
        <v>0</v>
      </c>
      <c r="K26" t="str">
        <f t="shared" si="2"/>
        <v>0-0</v>
      </c>
      <c r="L26">
        <f t="shared" si="3"/>
        <v>1</v>
      </c>
    </row>
    <row r="27">
      <c r="A27">
        <f>Results!A26</f>
        <v>5</v>
      </c>
      <c r="B27" s="14">
        <f>Results!B26</f>
        <v>46191</v>
      </c>
      <c r="C27" s="15">
        <f>Results!C26</f>
        <v>0.8333333333</v>
      </c>
      <c r="D27" t="str">
        <f>Results!E26</f>
        <v>Switzerland</v>
      </c>
      <c r="E27" s="9">
        <v>1.0</v>
      </c>
      <c r="F27" s="9">
        <v>1.0</v>
      </c>
      <c r="G27" t="str">
        <f>Results!H26</f>
        <v>Bosnia and Herzegovina</v>
      </c>
      <c r="H27">
        <f t="shared" si="1"/>
        <v>0</v>
      </c>
      <c r="I27">
        <f>if(Results!I26="-",0,IF(OR(AND(H27&gt;0,Results!J26&gt;0),AND(H27&lt;0,Results!J26&lt;0),AND(H27=0,Results!J26=0)),1,0))</f>
        <v>0</v>
      </c>
      <c r="J27">
        <f>IF(K27="-",0,if(K27=Results!I26,3,0))</f>
        <v>0</v>
      </c>
      <c r="K27" t="str">
        <f t="shared" si="2"/>
        <v>1-1</v>
      </c>
      <c r="L27">
        <f t="shared" si="3"/>
        <v>0</v>
      </c>
    </row>
    <row r="28">
      <c r="A28">
        <f>Results!A27</f>
        <v>5</v>
      </c>
      <c r="B28" s="14">
        <f>Results!B27</f>
        <v>46191</v>
      </c>
      <c r="C28" s="15">
        <f>Results!C27</f>
        <v>0.9583333333</v>
      </c>
      <c r="D28" t="str">
        <f>Results!E27</f>
        <v>Canada</v>
      </c>
      <c r="E28" s="9">
        <v>2.0</v>
      </c>
      <c r="F28" s="9">
        <v>0.0</v>
      </c>
      <c r="G28" t="str">
        <f>Results!H27</f>
        <v>Qatar</v>
      </c>
      <c r="H28">
        <f t="shared" si="1"/>
        <v>2</v>
      </c>
      <c r="I28">
        <f>if(Results!I27="-",0,IF(OR(AND(H28&gt;0,Results!J27&gt;0),AND(H28&lt;0,Results!J27&lt;0),AND(H28=0,Results!J27=0)),1,0))</f>
        <v>1</v>
      </c>
      <c r="J28">
        <f>IF(K28="-",0,if(K28=Results!I27,3,0))</f>
        <v>0</v>
      </c>
      <c r="K28" t="str">
        <f t="shared" si="2"/>
        <v>2-0</v>
      </c>
      <c r="L28">
        <f t="shared" si="3"/>
        <v>1</v>
      </c>
    </row>
    <row r="29">
      <c r="A29">
        <f>Results!A28</f>
        <v>6</v>
      </c>
      <c r="B29" s="14">
        <f>Results!B28</f>
        <v>46192</v>
      </c>
      <c r="C29" s="15">
        <f>Results!C28</f>
        <v>0.08333333333</v>
      </c>
      <c r="D29" t="str">
        <f>Results!E28</f>
        <v>Mexico</v>
      </c>
      <c r="E29" s="9">
        <v>2.0</v>
      </c>
      <c r="F29" s="9">
        <v>1.0</v>
      </c>
      <c r="G29" t="str">
        <f>Results!H28</f>
        <v>South Korea</v>
      </c>
      <c r="H29">
        <f t="shared" si="1"/>
        <v>1</v>
      </c>
      <c r="I29">
        <f>if(Results!I28="-",0,IF(OR(AND(H29&gt;0,Results!J28&gt;0),AND(H29&lt;0,Results!J28&lt;0),AND(H29=0,Results!J28=0)),1,0))</f>
        <v>1</v>
      </c>
      <c r="J29">
        <f>IF(K29="-",0,if(K29=Results!I28,3,0))</f>
        <v>0</v>
      </c>
      <c r="K29" t="str">
        <f t="shared" si="2"/>
        <v>2-1</v>
      </c>
      <c r="L29">
        <f t="shared" si="3"/>
        <v>1</v>
      </c>
    </row>
    <row r="30">
      <c r="A30">
        <f>Results!A29</f>
        <v>6</v>
      </c>
      <c r="B30" s="14">
        <f>Results!B29</f>
        <v>46192</v>
      </c>
      <c r="C30" s="15">
        <f>Results!C29</f>
        <v>0.8333333333</v>
      </c>
      <c r="D30" t="str">
        <f>Results!E29</f>
        <v>USA</v>
      </c>
      <c r="E30" s="9">
        <v>2.0</v>
      </c>
      <c r="F30" s="9">
        <v>0.0</v>
      </c>
      <c r="G30" t="str">
        <f>Results!H29</f>
        <v>Australia</v>
      </c>
      <c r="H30">
        <f t="shared" si="1"/>
        <v>2</v>
      </c>
      <c r="I30">
        <f>if(Results!I29="-",0,IF(OR(AND(H30&gt;0,Results!J29&gt;0),AND(H30&lt;0,Results!J29&lt;0),AND(H30=0,Results!J29=0)),1,0))</f>
        <v>1</v>
      </c>
      <c r="J30">
        <f>IF(K30="-",0,if(K30=Results!I29,3,0))</f>
        <v>3</v>
      </c>
      <c r="K30" t="str">
        <f t="shared" si="2"/>
        <v>2-0</v>
      </c>
      <c r="L30">
        <f t="shared" si="3"/>
        <v>3</v>
      </c>
    </row>
    <row r="31">
      <c r="A31">
        <f>Results!A30</f>
        <v>6</v>
      </c>
      <c r="B31" s="14">
        <f>Results!B30</f>
        <v>46192</v>
      </c>
      <c r="C31" s="15">
        <f>Results!C30</f>
        <v>0.9583333333</v>
      </c>
      <c r="D31" t="str">
        <f>Results!E30</f>
        <v>Scotland</v>
      </c>
      <c r="E31" s="9">
        <v>1.0</v>
      </c>
      <c r="F31" s="9">
        <v>2.0</v>
      </c>
      <c r="G31" t="str">
        <f>Results!H30</f>
        <v>Morocco</v>
      </c>
      <c r="H31">
        <f t="shared" si="1"/>
        <v>-1</v>
      </c>
      <c r="I31">
        <f>if(Results!I30="-",0,IF(OR(AND(H31&gt;0,Results!J30&gt;0),AND(H31&lt;0,Results!J30&lt;0),AND(H31=0,Results!J30=0)),1,0))</f>
        <v>1</v>
      </c>
      <c r="J31">
        <f>IF(K31="-",0,if(K31=Results!I30,3,0))</f>
        <v>0</v>
      </c>
      <c r="K31" t="str">
        <f t="shared" si="2"/>
        <v>1-2</v>
      </c>
      <c r="L31">
        <f t="shared" si="3"/>
        <v>1</v>
      </c>
    </row>
    <row r="32">
      <c r="A32">
        <f>Results!A31</f>
        <v>7</v>
      </c>
      <c r="B32" s="14">
        <f>Results!B31</f>
        <v>46193</v>
      </c>
      <c r="C32" s="15">
        <f>Results!C31</f>
        <v>0.0625</v>
      </c>
      <c r="D32" t="str">
        <f>Results!E31</f>
        <v>Brazil</v>
      </c>
      <c r="E32" s="9">
        <v>3.0</v>
      </c>
      <c r="F32" s="9">
        <v>0.0</v>
      </c>
      <c r="G32" t="str">
        <f>Results!H31</f>
        <v>Haiti</v>
      </c>
      <c r="H32">
        <f t="shared" si="1"/>
        <v>3</v>
      </c>
      <c r="I32">
        <f>if(Results!I31="-",0,IF(OR(AND(H32&gt;0,Results!J31&gt;0),AND(H32&lt;0,Results!J31&lt;0),AND(H32=0,Results!J31=0)),1,0))</f>
        <v>1</v>
      </c>
      <c r="J32">
        <f>IF(K32="-",0,if(K32=Results!I31,3,0))</f>
        <v>3</v>
      </c>
      <c r="K32" t="str">
        <f t="shared" si="2"/>
        <v>3-0</v>
      </c>
      <c r="L32">
        <f t="shared" si="3"/>
        <v>3</v>
      </c>
    </row>
    <row r="33">
      <c r="A33">
        <f>Results!A32</f>
        <v>7</v>
      </c>
      <c r="B33" s="14">
        <f>Results!B32</f>
        <v>46193</v>
      </c>
      <c r="C33" s="15">
        <f>Results!C32</f>
        <v>0.1666666667</v>
      </c>
      <c r="D33" t="str">
        <f>Results!E32</f>
        <v>Turkey</v>
      </c>
      <c r="E33" s="9">
        <v>1.0</v>
      </c>
      <c r="F33" s="9">
        <v>0.0</v>
      </c>
      <c r="G33" t="str">
        <f>Results!H32</f>
        <v>Paraguay</v>
      </c>
      <c r="H33">
        <f t="shared" si="1"/>
        <v>1</v>
      </c>
      <c r="I33">
        <f>if(Results!I32="-",0,IF(OR(AND(H33&gt;0,Results!J32&gt;0),AND(H33&lt;0,Results!J32&lt;0),AND(H33=0,Results!J32=0)),1,0))</f>
        <v>0</v>
      </c>
      <c r="J33">
        <f>IF(K33="-",0,if(K33=Results!I32,3,0))</f>
        <v>0</v>
      </c>
      <c r="K33" t="str">
        <f t="shared" si="2"/>
        <v>1-0</v>
      </c>
      <c r="L33">
        <f t="shared" si="3"/>
        <v>0</v>
      </c>
    </row>
    <row r="34">
      <c r="A34">
        <f>Results!A33</f>
        <v>7</v>
      </c>
      <c r="B34" s="14">
        <f>Results!B33</f>
        <v>46193</v>
      </c>
      <c r="C34" s="15">
        <f>Results!C33</f>
        <v>0.75</v>
      </c>
      <c r="D34" t="str">
        <f>Results!E33</f>
        <v>Netherlands</v>
      </c>
      <c r="E34" s="9">
        <v>1.0</v>
      </c>
      <c r="F34" s="9">
        <v>1.0</v>
      </c>
      <c r="G34" t="str">
        <f>Results!H33</f>
        <v>Sweden</v>
      </c>
      <c r="H34">
        <f t="shared" si="1"/>
        <v>0</v>
      </c>
      <c r="I34">
        <f>if(Results!I33="-",0,IF(OR(AND(H34&gt;0,Results!J33&gt;0),AND(H34&lt;0,Results!J33&lt;0),AND(H34=0,Results!J33=0)),1,0))</f>
        <v>0</v>
      </c>
      <c r="J34">
        <f>IF(K34="-",0,if(K34=Results!I33,3,0))</f>
        <v>0</v>
      </c>
      <c r="K34" t="str">
        <f t="shared" si="2"/>
        <v>1-1</v>
      </c>
      <c r="L34">
        <f t="shared" si="3"/>
        <v>0</v>
      </c>
    </row>
    <row r="35">
      <c r="A35">
        <f>Results!A34</f>
        <v>7</v>
      </c>
      <c r="B35" s="14">
        <f>Results!B34</f>
        <v>46193</v>
      </c>
      <c r="C35" s="15">
        <f>Results!C34</f>
        <v>0.875</v>
      </c>
      <c r="D35" t="str">
        <f>Results!E34</f>
        <v>Germany</v>
      </c>
      <c r="E35" s="9">
        <v>2.0</v>
      </c>
      <c r="F35" s="9">
        <v>0.0</v>
      </c>
      <c r="G35" t="str">
        <f>Results!H34</f>
        <v>Ivory Coast</v>
      </c>
      <c r="H35">
        <f t="shared" si="1"/>
        <v>2</v>
      </c>
      <c r="I35">
        <f>if(Results!I34="-",0,IF(OR(AND(H35&gt;0,Results!J34&gt;0),AND(H35&lt;0,Results!J34&lt;0),AND(H35=0,Results!J34=0)),1,0))</f>
        <v>0</v>
      </c>
      <c r="J35">
        <f>IF(K35="-",0,if(K35=Results!I34,3,0))</f>
        <v>0</v>
      </c>
      <c r="K35" t="str">
        <f t="shared" si="2"/>
        <v>2-0</v>
      </c>
      <c r="L35">
        <f t="shared" si="3"/>
        <v>0</v>
      </c>
    </row>
    <row r="36">
      <c r="A36">
        <f>Results!A35</f>
        <v>1</v>
      </c>
      <c r="B36" s="14">
        <f>Results!B35</f>
        <v>46194</v>
      </c>
      <c r="C36" s="15">
        <f>Results!C35</f>
        <v>0.04166666667</v>
      </c>
      <c r="D36" t="str">
        <f>Results!E35</f>
        <v>Ecuador</v>
      </c>
      <c r="E36" s="9">
        <v>2.0</v>
      </c>
      <c r="F36" s="9">
        <v>0.0</v>
      </c>
      <c r="G36" t="str">
        <f>Results!H35</f>
        <v>Curaçao</v>
      </c>
      <c r="H36">
        <f t="shared" si="1"/>
        <v>2</v>
      </c>
      <c r="I36">
        <f>if(Results!I35="-",0,IF(OR(AND(H36&gt;0,Results!J35&gt;0),AND(H36&lt;0,Results!J35&lt;0),AND(H36=0,Results!J35=0)),1,0))</f>
        <v>0</v>
      </c>
      <c r="J36">
        <f>IF(K36="-",0,if(K36=Results!I35,3,0))</f>
        <v>0</v>
      </c>
      <c r="K36" t="str">
        <f t="shared" si="2"/>
        <v>2-0</v>
      </c>
      <c r="L36">
        <f t="shared" si="3"/>
        <v>0</v>
      </c>
    </row>
    <row r="37">
      <c r="A37">
        <f>Results!A36</f>
        <v>1</v>
      </c>
      <c r="B37" s="14">
        <f>Results!B36</f>
        <v>46194</v>
      </c>
      <c r="C37" s="15">
        <f>Results!C36</f>
        <v>0.2083333333</v>
      </c>
      <c r="D37" t="str">
        <f>Results!E36</f>
        <v>Tunisia</v>
      </c>
      <c r="F37" s="9">
        <v>3.0</v>
      </c>
      <c r="G37" t="str">
        <f>Results!H36</f>
        <v>Japan</v>
      </c>
      <c r="H37">
        <f t="shared" si="1"/>
        <v>-3</v>
      </c>
      <c r="I37">
        <f>if(Results!I36="-",0,IF(OR(AND(H37&gt;0,Results!J36&gt;0),AND(H37&lt;0,Results!J36&lt;0),AND(H37=0,Results!J36=0)),1,0))</f>
        <v>0</v>
      </c>
      <c r="J37">
        <f>IF(K37="-",0,if(K37=Results!I36,3,0))</f>
        <v>0</v>
      </c>
      <c r="K37" t="str">
        <f t="shared" si="2"/>
        <v>-3</v>
      </c>
      <c r="L37">
        <f t="shared" si="3"/>
        <v>0</v>
      </c>
    </row>
    <row r="38">
      <c r="A38">
        <f>Results!A37</f>
        <v>1</v>
      </c>
      <c r="B38" s="14">
        <f>Results!B37</f>
        <v>46194</v>
      </c>
      <c r="C38" s="15">
        <f>Results!C37</f>
        <v>0.7083333333</v>
      </c>
      <c r="D38" t="str">
        <f>Results!E37</f>
        <v>Spain</v>
      </c>
      <c r="G38" t="str">
        <f>Results!H37</f>
        <v>Saudi Arabia</v>
      </c>
      <c r="H38">
        <f t="shared" si="1"/>
        <v>0</v>
      </c>
      <c r="I38">
        <f>if(Results!I37="-",0,IF(OR(AND(H38&gt;0,Results!J37&gt;0),AND(H38&lt;0,Results!J37&lt;0),AND(H38=0,Results!J37=0)),1,0))</f>
        <v>0</v>
      </c>
      <c r="J38">
        <f>IF(K38="-",0,if(K38=Results!I37,3,0))</f>
        <v>0</v>
      </c>
      <c r="K38" t="str">
        <f t="shared" si="2"/>
        <v>-</v>
      </c>
      <c r="L38">
        <f t="shared" si="3"/>
        <v>0</v>
      </c>
    </row>
    <row r="39">
      <c r="A39">
        <f>Results!A38</f>
        <v>1</v>
      </c>
      <c r="B39" s="14">
        <f>Results!B38</f>
        <v>46194</v>
      </c>
      <c r="C39" s="15">
        <f>Results!C38</f>
        <v>0.8333333333</v>
      </c>
      <c r="D39" t="str">
        <f>Results!E38</f>
        <v>Belgium</v>
      </c>
      <c r="G39" t="str">
        <f>Results!H38</f>
        <v>Iran</v>
      </c>
      <c r="H39">
        <f t="shared" si="1"/>
        <v>0</v>
      </c>
      <c r="I39">
        <f>if(Results!I38="-",0,IF(OR(AND(H39&gt;0,Results!J38&gt;0),AND(H39&lt;0,Results!J38&lt;0),AND(H39=0,Results!J38=0)),1,0))</f>
        <v>0</v>
      </c>
      <c r="J39">
        <f>IF(K39="-",0,if(K39=Results!I38,3,0))</f>
        <v>0</v>
      </c>
      <c r="K39" t="str">
        <f t="shared" si="2"/>
        <v>-</v>
      </c>
      <c r="L39">
        <f t="shared" si="3"/>
        <v>0</v>
      </c>
    </row>
    <row r="40">
      <c r="A40">
        <f>Results!A39</f>
        <v>1</v>
      </c>
      <c r="B40" s="14">
        <f>Results!B39</f>
        <v>46194</v>
      </c>
      <c r="C40" s="15">
        <f>Results!C39</f>
        <v>0.9583333333</v>
      </c>
      <c r="D40" t="str">
        <f>Results!E39</f>
        <v>Uruguay</v>
      </c>
      <c r="G40" t="str">
        <f>Results!H39</f>
        <v>Cape Verde</v>
      </c>
      <c r="H40">
        <f t="shared" si="1"/>
        <v>0</v>
      </c>
      <c r="I40">
        <f>if(Results!I39="-",0,IF(OR(AND(H40&gt;0,Results!J39&gt;0),AND(H40&lt;0,Results!J39&lt;0),AND(H40=0,Results!J39=0)),1,0))</f>
        <v>0</v>
      </c>
      <c r="J40">
        <f>IF(K40="-",0,if(K40=Results!I39,3,0))</f>
        <v>0</v>
      </c>
      <c r="K40" t="str">
        <f t="shared" si="2"/>
        <v>-</v>
      </c>
      <c r="L40">
        <f t="shared" si="3"/>
        <v>0</v>
      </c>
    </row>
    <row r="41">
      <c r="A41">
        <f>Results!A40</f>
        <v>2</v>
      </c>
      <c r="B41" s="14">
        <f>Results!B40</f>
        <v>46195</v>
      </c>
      <c r="C41" s="15">
        <f>Results!C40</f>
        <v>0.08333333333</v>
      </c>
      <c r="D41" t="str">
        <f>Results!E40</f>
        <v>New Zealand</v>
      </c>
      <c r="G41" t="str">
        <f>Results!H40</f>
        <v>Egypt</v>
      </c>
      <c r="H41">
        <f t="shared" si="1"/>
        <v>0</v>
      </c>
      <c r="I41">
        <f>if(Results!I40="-",0,IF(OR(AND(H41&gt;0,Results!J40&gt;0),AND(H41&lt;0,Results!J40&lt;0),AND(H41=0,Results!J40=0)),1,0))</f>
        <v>0</v>
      </c>
      <c r="J41">
        <f>IF(K41="-",0,if(K41=Results!I40,3,0))</f>
        <v>0</v>
      </c>
      <c r="K41" t="str">
        <f t="shared" si="2"/>
        <v>-</v>
      </c>
      <c r="L41">
        <f t="shared" si="3"/>
        <v>0</v>
      </c>
    </row>
    <row r="42">
      <c r="A42">
        <f>Results!A41</f>
        <v>2</v>
      </c>
      <c r="B42" s="14">
        <f>Results!B41</f>
        <v>46195</v>
      </c>
      <c r="C42" s="15">
        <f>Results!C41</f>
        <v>0.7916666667</v>
      </c>
      <c r="D42" t="str">
        <f>Results!E41</f>
        <v>Argentina</v>
      </c>
      <c r="G42" t="str">
        <f>Results!H41</f>
        <v>Austria</v>
      </c>
      <c r="H42">
        <f t="shared" si="1"/>
        <v>0</v>
      </c>
      <c r="I42">
        <f>if(Results!I41="-",0,IF(OR(AND(H42&gt;0,Results!J41&gt;0),AND(H42&lt;0,Results!J41&lt;0),AND(H42=0,Results!J41=0)),1,0))</f>
        <v>0</v>
      </c>
      <c r="J42">
        <f>IF(K42="-",0,if(K42=Results!I41,3,0))</f>
        <v>0</v>
      </c>
      <c r="K42" t="str">
        <f t="shared" si="2"/>
        <v>-</v>
      </c>
      <c r="L42">
        <f t="shared" si="3"/>
        <v>0</v>
      </c>
    </row>
    <row r="43">
      <c r="A43">
        <f>Results!A42</f>
        <v>2</v>
      </c>
      <c r="B43" s="14">
        <f>Results!B42</f>
        <v>46195</v>
      </c>
      <c r="C43" s="15">
        <f>Results!C42</f>
        <v>0.9583333333</v>
      </c>
      <c r="D43" t="str">
        <f>Results!E42</f>
        <v>France</v>
      </c>
      <c r="G43" t="str">
        <f>Results!H42</f>
        <v>Iraq</v>
      </c>
      <c r="H43">
        <f t="shared" si="1"/>
        <v>0</v>
      </c>
      <c r="I43">
        <f>if(Results!I42="-",0,IF(OR(AND(H43&gt;0,Results!J42&gt;0),AND(H43&lt;0,Results!J42&lt;0),AND(H43=0,Results!J42=0)),1,0))</f>
        <v>0</v>
      </c>
      <c r="J43">
        <f>IF(K43="-",0,if(K43=Results!I42,3,0))</f>
        <v>0</v>
      </c>
      <c r="K43" t="str">
        <f t="shared" si="2"/>
        <v>-</v>
      </c>
      <c r="L43">
        <f t="shared" si="3"/>
        <v>0</v>
      </c>
    </row>
    <row r="44">
      <c r="A44">
        <f>Results!A43</f>
        <v>3</v>
      </c>
      <c r="B44" s="14">
        <f>Results!B43</f>
        <v>46196</v>
      </c>
      <c r="C44" s="15">
        <f>Results!C43</f>
        <v>0.08333333333</v>
      </c>
      <c r="D44" t="str">
        <f>Results!E43</f>
        <v>Norway</v>
      </c>
      <c r="G44" t="str">
        <f>Results!H43</f>
        <v>Senegal</v>
      </c>
      <c r="H44">
        <f t="shared" si="1"/>
        <v>0</v>
      </c>
      <c r="I44">
        <f>if(Results!I43="-",0,IF(OR(AND(H44&gt;0,Results!J43&gt;0),AND(H44&lt;0,Results!J43&lt;0),AND(H44=0,Results!J43=0)),1,0))</f>
        <v>0</v>
      </c>
      <c r="J44">
        <f>IF(K44="-",0,if(K44=Results!I43,3,0))</f>
        <v>0</v>
      </c>
      <c r="K44" t="str">
        <f t="shared" si="2"/>
        <v>-</v>
      </c>
      <c r="L44">
        <f t="shared" si="3"/>
        <v>0</v>
      </c>
    </row>
    <row r="45">
      <c r="A45">
        <f>Results!A44</f>
        <v>3</v>
      </c>
      <c r="B45" s="14">
        <f>Results!B44</f>
        <v>46196</v>
      </c>
      <c r="C45" s="15">
        <f>Results!C44</f>
        <v>0.2083333333</v>
      </c>
      <c r="D45" t="str">
        <f>Results!E44</f>
        <v>Jordan</v>
      </c>
      <c r="G45" t="str">
        <f>Results!H44</f>
        <v>Algeria</v>
      </c>
      <c r="H45">
        <f t="shared" si="1"/>
        <v>0</v>
      </c>
      <c r="I45">
        <f>if(Results!I44="-",0,IF(OR(AND(H45&gt;0,Results!J44&gt;0),AND(H45&lt;0,Results!J44&lt;0),AND(H45=0,Results!J44=0)),1,0))</f>
        <v>0</v>
      </c>
      <c r="J45">
        <f>IF(K45="-",0,if(K45=Results!I44,3,0))</f>
        <v>0</v>
      </c>
      <c r="K45" t="str">
        <f t="shared" si="2"/>
        <v>-</v>
      </c>
      <c r="L45">
        <f t="shared" si="3"/>
        <v>0</v>
      </c>
    </row>
    <row r="46">
      <c r="A46">
        <f>Results!A45</f>
        <v>3</v>
      </c>
      <c r="B46" s="14">
        <f>Results!B45</f>
        <v>46196</v>
      </c>
      <c r="C46" s="15">
        <f>Results!C45</f>
        <v>0.7916666667</v>
      </c>
      <c r="D46" t="str">
        <f>Results!E45</f>
        <v>Portugal</v>
      </c>
      <c r="G46" t="str">
        <f>Results!H45</f>
        <v>Uzbekistan</v>
      </c>
      <c r="H46">
        <f t="shared" si="1"/>
        <v>0</v>
      </c>
      <c r="I46">
        <f>if(Results!I45="-",0,IF(OR(AND(H46&gt;0,Results!J45&gt;0),AND(H46&lt;0,Results!J45&lt;0),AND(H46=0,Results!J45=0)),1,0))</f>
        <v>0</v>
      </c>
      <c r="J46">
        <f>IF(K46="-",0,if(K46=Results!I45,3,0))</f>
        <v>0</v>
      </c>
      <c r="K46" t="str">
        <f t="shared" si="2"/>
        <v>-</v>
      </c>
      <c r="L46">
        <f t="shared" si="3"/>
        <v>0</v>
      </c>
    </row>
    <row r="47">
      <c r="A47">
        <f>Results!A46</f>
        <v>3</v>
      </c>
      <c r="B47" s="14">
        <f>Results!B46</f>
        <v>46196</v>
      </c>
      <c r="C47" s="15">
        <f>Results!C46</f>
        <v>0.9166666667</v>
      </c>
      <c r="D47" t="str">
        <f>Results!E46</f>
        <v>England</v>
      </c>
      <c r="G47" t="str">
        <f>Results!H46</f>
        <v>Ghana</v>
      </c>
      <c r="H47">
        <f t="shared" si="1"/>
        <v>0</v>
      </c>
      <c r="I47">
        <f>if(Results!I46="-",0,IF(OR(AND(H47&gt;0,Results!J46&gt;0),AND(H47&lt;0,Results!J46&lt;0),AND(H47=0,Results!J46=0)),1,0))</f>
        <v>0</v>
      </c>
      <c r="J47">
        <f>IF(K47="-",0,if(K47=Results!I46,3,0))</f>
        <v>0</v>
      </c>
      <c r="K47" t="str">
        <f t="shared" si="2"/>
        <v>-</v>
      </c>
      <c r="L47">
        <f t="shared" si="3"/>
        <v>0</v>
      </c>
    </row>
    <row r="48">
      <c r="A48">
        <f>Results!A47</f>
        <v>4</v>
      </c>
      <c r="B48" s="14">
        <f>Results!B47</f>
        <v>46197</v>
      </c>
      <c r="C48" s="15">
        <f>Results!C47</f>
        <v>0.04166666667</v>
      </c>
      <c r="D48" t="str">
        <f>Results!E47</f>
        <v>Panama</v>
      </c>
      <c r="G48" t="str">
        <f>Results!H47</f>
        <v>Croatia</v>
      </c>
      <c r="H48">
        <f t="shared" si="1"/>
        <v>0</v>
      </c>
      <c r="I48">
        <f>if(Results!I47="-",0,IF(OR(AND(H48&gt;0,Results!J47&gt;0),AND(H48&lt;0,Results!J47&lt;0),AND(H48=0,Results!J47=0)),1,0))</f>
        <v>0</v>
      </c>
      <c r="J48">
        <f>IF(K48="-",0,if(K48=Results!I47,3,0))</f>
        <v>0</v>
      </c>
      <c r="K48" t="str">
        <f t="shared" si="2"/>
        <v>-</v>
      </c>
      <c r="L48">
        <f t="shared" si="3"/>
        <v>0</v>
      </c>
    </row>
    <row r="49">
      <c r="A49">
        <f>Results!A48</f>
        <v>4</v>
      </c>
      <c r="B49" s="14">
        <f>Results!B48</f>
        <v>46197</v>
      </c>
      <c r="C49" s="15">
        <f>Results!C48</f>
        <v>0.1666666667</v>
      </c>
      <c r="D49" t="str">
        <f>Results!E48</f>
        <v>Colombia</v>
      </c>
      <c r="G49" t="str">
        <f>Results!H48</f>
        <v>DR Congo</v>
      </c>
      <c r="H49">
        <f t="shared" si="1"/>
        <v>0</v>
      </c>
      <c r="I49">
        <f>if(Results!I48="-",0,IF(OR(AND(H49&gt;0,Results!J48&gt;0),AND(H49&lt;0,Results!J48&lt;0),AND(H49=0,Results!J48=0)),1,0))</f>
        <v>0</v>
      </c>
      <c r="J49">
        <f>IF(K49="-",0,if(K49=Results!I48,3,0))</f>
        <v>0</v>
      </c>
      <c r="K49" t="str">
        <f t="shared" si="2"/>
        <v>-</v>
      </c>
      <c r="L49">
        <f t="shared" si="3"/>
        <v>0</v>
      </c>
    </row>
    <row r="50">
      <c r="A50">
        <f>Results!A49</f>
        <v>4</v>
      </c>
      <c r="B50" s="14">
        <f>Results!B49</f>
        <v>46197</v>
      </c>
      <c r="C50" s="15">
        <f>Results!C49</f>
        <v>0.75</v>
      </c>
      <c r="D50" t="str">
        <f>Results!E49</f>
        <v>Morocco</v>
      </c>
      <c r="G50" t="str">
        <f>Results!H49</f>
        <v>Haiti</v>
      </c>
      <c r="H50">
        <f t="shared" si="1"/>
        <v>0</v>
      </c>
      <c r="I50">
        <f>if(Results!I49="-",0,IF(OR(AND(H50&gt;0,Results!J49&gt;0),AND(H50&lt;0,Results!J49&lt;0),AND(H50=0,Results!J49=0)),1,0))</f>
        <v>0</v>
      </c>
      <c r="J50">
        <f>IF(K50="-",0,if(K50=Results!I49,3,0))</f>
        <v>0</v>
      </c>
      <c r="K50" t="str">
        <f t="shared" si="2"/>
        <v>-</v>
      </c>
      <c r="L50">
        <f t="shared" si="3"/>
        <v>0</v>
      </c>
    </row>
    <row r="51">
      <c r="A51">
        <f>Results!A50</f>
        <v>4</v>
      </c>
      <c r="B51" s="14">
        <f>Results!B50</f>
        <v>46197</v>
      </c>
      <c r="C51" s="15">
        <f>Results!C50</f>
        <v>0.75</v>
      </c>
      <c r="D51" t="str">
        <f>Results!E50</f>
        <v>Scotland</v>
      </c>
      <c r="G51" t="str">
        <f>Results!H50</f>
        <v>Brazil</v>
      </c>
      <c r="H51">
        <f t="shared" si="1"/>
        <v>0</v>
      </c>
      <c r="I51">
        <f>if(Results!I50="-",0,IF(OR(AND(H51&gt;0,Results!J50&gt;0),AND(H51&lt;0,Results!J50&lt;0),AND(H51=0,Results!J50=0)),1,0))</f>
        <v>0</v>
      </c>
      <c r="J51">
        <f>IF(K51="-",0,if(K51=Results!I50,3,0))</f>
        <v>0</v>
      </c>
      <c r="K51" t="str">
        <f t="shared" si="2"/>
        <v>-</v>
      </c>
      <c r="L51">
        <f t="shared" si="3"/>
        <v>0</v>
      </c>
    </row>
    <row r="52">
      <c r="A52">
        <f>Results!A51</f>
        <v>4</v>
      </c>
      <c r="B52" s="14">
        <f>Results!B51</f>
        <v>46197</v>
      </c>
      <c r="C52" s="15">
        <f>Results!C51</f>
        <v>0.875</v>
      </c>
      <c r="D52" t="str">
        <f>Results!E51</f>
        <v>Canada</v>
      </c>
      <c r="G52" t="str">
        <f>Results!H51</f>
        <v>Switzerland</v>
      </c>
      <c r="H52">
        <f t="shared" si="1"/>
        <v>0</v>
      </c>
      <c r="I52">
        <f>if(Results!I51="-",0,IF(OR(AND(H52&gt;0,Results!J51&gt;0),AND(H52&lt;0,Results!J51&lt;0),AND(H52=0,Results!J51=0)),1,0))</f>
        <v>0</v>
      </c>
      <c r="J52">
        <f>IF(K52="-",0,if(K52=Results!I51,3,0))</f>
        <v>0</v>
      </c>
      <c r="K52" t="str">
        <f t="shared" si="2"/>
        <v>-</v>
      </c>
      <c r="L52">
        <f t="shared" si="3"/>
        <v>0</v>
      </c>
    </row>
    <row r="53">
      <c r="A53">
        <f>Results!A52</f>
        <v>4</v>
      </c>
      <c r="B53" s="14">
        <f>Results!B52</f>
        <v>46197</v>
      </c>
      <c r="C53" s="15">
        <f>Results!C52</f>
        <v>0.875</v>
      </c>
      <c r="D53" t="str">
        <f>Results!E52</f>
        <v>Bosnia and Herzegovina</v>
      </c>
      <c r="G53" t="str">
        <f>Results!H52</f>
        <v>Qatar</v>
      </c>
      <c r="H53">
        <f t="shared" si="1"/>
        <v>0</v>
      </c>
      <c r="I53">
        <f>if(Results!I52="-",0,IF(OR(AND(H53&gt;0,Results!J52&gt;0),AND(H53&lt;0,Results!J52&lt;0),AND(H53=0,Results!J52=0)),1,0))</f>
        <v>0</v>
      </c>
      <c r="J53">
        <f>IF(K53="-",0,if(K53=Results!I52,3,0))</f>
        <v>0</v>
      </c>
      <c r="K53" t="str">
        <f t="shared" si="2"/>
        <v>-</v>
      </c>
      <c r="L53">
        <f t="shared" si="3"/>
        <v>0</v>
      </c>
    </row>
    <row r="54">
      <c r="A54">
        <f>Results!A53</f>
        <v>5</v>
      </c>
      <c r="B54" s="14">
        <f>Results!B53</f>
        <v>46198</v>
      </c>
      <c r="C54" s="15">
        <f>Results!C53</f>
        <v>0.08333333333</v>
      </c>
      <c r="D54" t="str">
        <f>Results!E53</f>
        <v>Mexico</v>
      </c>
      <c r="G54" t="str">
        <f>Results!H53</f>
        <v>Czechia</v>
      </c>
      <c r="H54">
        <f t="shared" si="1"/>
        <v>0</v>
      </c>
      <c r="I54">
        <f>if(Results!I53="-",0,IF(OR(AND(H54&gt;0,Results!J53&gt;0),AND(H54&lt;0,Results!J53&lt;0),AND(H54=0,Results!J53=0)),1,0))</f>
        <v>0</v>
      </c>
      <c r="J54">
        <f>IF(K54="-",0,if(K54=Results!I53,3,0))</f>
        <v>0</v>
      </c>
      <c r="K54" t="str">
        <f t="shared" si="2"/>
        <v>-</v>
      </c>
      <c r="L54">
        <f t="shared" si="3"/>
        <v>0</v>
      </c>
    </row>
    <row r="55">
      <c r="A55">
        <f>Results!A54</f>
        <v>5</v>
      </c>
      <c r="B55" s="14">
        <f>Results!B54</f>
        <v>46198</v>
      </c>
      <c r="C55" s="15">
        <f>Results!C54</f>
        <v>0.08333333333</v>
      </c>
      <c r="D55" t="str">
        <f>Results!E54</f>
        <v>South Korea</v>
      </c>
      <c r="G55" t="str">
        <f>Results!H54</f>
        <v>South Africa</v>
      </c>
      <c r="H55">
        <f t="shared" si="1"/>
        <v>0</v>
      </c>
      <c r="I55">
        <f>if(Results!I54="-",0,IF(OR(AND(H55&gt;0,Results!J54&gt;0),AND(H55&lt;0,Results!J54&lt;0),AND(H55=0,Results!J54=0)),1,0))</f>
        <v>0</v>
      </c>
      <c r="J55">
        <f>IF(K55="-",0,if(K55=Results!I54,3,0))</f>
        <v>0</v>
      </c>
      <c r="K55" t="str">
        <f t="shared" si="2"/>
        <v>-</v>
      </c>
      <c r="L55">
        <f t="shared" si="3"/>
        <v>0</v>
      </c>
    </row>
    <row r="56">
      <c r="A56">
        <f>Results!A55</f>
        <v>5</v>
      </c>
      <c r="B56" s="14">
        <f>Results!B55</f>
        <v>46198</v>
      </c>
      <c r="C56" s="15">
        <f>Results!C55</f>
        <v>0.75</v>
      </c>
      <c r="D56" t="str">
        <f>Results!E55</f>
        <v>Ecuador</v>
      </c>
      <c r="G56" t="str">
        <f>Results!H55</f>
        <v>Germany</v>
      </c>
      <c r="H56">
        <f t="shared" si="1"/>
        <v>0</v>
      </c>
      <c r="I56">
        <f>if(Results!I55="-",0,IF(OR(AND(H56&gt;0,Results!J55&gt;0),AND(H56&lt;0,Results!J55&lt;0),AND(H56=0,Results!J55=0)),1,0))</f>
        <v>0</v>
      </c>
      <c r="J56">
        <f>IF(K56="-",0,if(K56=Results!I55,3,0))</f>
        <v>0</v>
      </c>
      <c r="K56" t="str">
        <f t="shared" si="2"/>
        <v>-</v>
      </c>
      <c r="L56">
        <f t="shared" si="3"/>
        <v>0</v>
      </c>
    </row>
    <row r="57">
      <c r="A57">
        <f>Results!A56</f>
        <v>5</v>
      </c>
      <c r="B57" s="14">
        <f>Results!B56</f>
        <v>46198</v>
      </c>
      <c r="C57" s="15">
        <f>Results!C56</f>
        <v>0.75</v>
      </c>
      <c r="D57" t="str">
        <f>Results!E56</f>
        <v>Curaçao</v>
      </c>
      <c r="G57" t="str">
        <f>Results!H56</f>
        <v>Ivory Coast</v>
      </c>
      <c r="H57">
        <f t="shared" si="1"/>
        <v>0</v>
      </c>
      <c r="I57">
        <f>if(Results!I56="-",0,IF(OR(AND(H57&gt;0,Results!J56&gt;0),AND(H57&lt;0,Results!J56&lt;0),AND(H57=0,Results!J56=0)),1,0))</f>
        <v>0</v>
      </c>
      <c r="J57">
        <f>IF(K57="-",0,if(K57=Results!I56,3,0))</f>
        <v>0</v>
      </c>
      <c r="K57" t="str">
        <f t="shared" si="2"/>
        <v>-</v>
      </c>
      <c r="L57">
        <f t="shared" si="3"/>
        <v>0</v>
      </c>
    </row>
    <row r="58">
      <c r="A58">
        <f>Results!A57</f>
        <v>5</v>
      </c>
      <c r="B58" s="14">
        <f>Results!B57</f>
        <v>46198</v>
      </c>
      <c r="C58" s="15">
        <f>Results!C57</f>
        <v>0.875</v>
      </c>
      <c r="D58" t="str">
        <f>Results!E57</f>
        <v>Tunisia</v>
      </c>
      <c r="G58" t="str">
        <f>Results!H57</f>
        <v>Netherlands</v>
      </c>
      <c r="H58">
        <f t="shared" si="1"/>
        <v>0</v>
      </c>
      <c r="I58">
        <f>if(Results!I57="-",0,IF(OR(AND(H58&gt;0,Results!J57&gt;0),AND(H58&lt;0,Results!J57&lt;0),AND(H58=0,Results!J57=0)),1,0))</f>
        <v>0</v>
      </c>
      <c r="J58">
        <f>IF(K58="-",0,if(K58=Results!I57,3,0))</f>
        <v>0</v>
      </c>
      <c r="K58" t="str">
        <f t="shared" si="2"/>
        <v>-</v>
      </c>
      <c r="L58">
        <f t="shared" si="3"/>
        <v>0</v>
      </c>
    </row>
    <row r="59">
      <c r="A59">
        <f>Results!A58</f>
        <v>5</v>
      </c>
      <c r="B59" s="14">
        <f>Results!B58</f>
        <v>46198</v>
      </c>
      <c r="C59" s="15">
        <f>Results!C58</f>
        <v>0.875</v>
      </c>
      <c r="D59" t="str">
        <f>Results!E58</f>
        <v>Japan</v>
      </c>
      <c r="G59" t="str">
        <f>Results!H58</f>
        <v>Sweden</v>
      </c>
      <c r="H59">
        <f t="shared" si="1"/>
        <v>0</v>
      </c>
      <c r="I59">
        <f>if(Results!I58="-",0,IF(OR(AND(H59&gt;0,Results!J58&gt;0),AND(H59&lt;0,Results!J58&lt;0),AND(H59=0,Results!J58=0)),1,0))</f>
        <v>0</v>
      </c>
      <c r="J59">
        <f>IF(K59="-",0,if(K59=Results!I58,3,0))</f>
        <v>0</v>
      </c>
      <c r="K59" t="str">
        <f t="shared" si="2"/>
        <v>-</v>
      </c>
      <c r="L59">
        <f t="shared" si="3"/>
        <v>0</v>
      </c>
    </row>
    <row r="60">
      <c r="A60">
        <f>Results!A59</f>
        <v>6</v>
      </c>
      <c r="B60" s="14">
        <f>Results!B59</f>
        <v>46199</v>
      </c>
      <c r="C60" s="15">
        <f>Results!C59</f>
        <v>0.04166666667</v>
      </c>
      <c r="D60" t="str">
        <f>Results!E59</f>
        <v>USA</v>
      </c>
      <c r="G60" t="str">
        <f>Results!H59</f>
        <v>Türkiye</v>
      </c>
      <c r="H60">
        <f t="shared" si="1"/>
        <v>0</v>
      </c>
      <c r="I60">
        <f>if(Results!I59="-",0,IF(OR(AND(H60&gt;0,Results!J59&gt;0),AND(H60&lt;0,Results!J59&lt;0),AND(H60=0,Results!J59=0)),1,0))</f>
        <v>0</v>
      </c>
      <c r="J60">
        <f>IF(K60="-",0,if(K60=Results!I59,3,0))</f>
        <v>0</v>
      </c>
      <c r="K60" t="str">
        <f t="shared" si="2"/>
        <v>-</v>
      </c>
      <c r="L60">
        <f t="shared" si="3"/>
        <v>0</v>
      </c>
    </row>
    <row r="61">
      <c r="A61">
        <f>Results!A60</f>
        <v>6</v>
      </c>
      <c r="B61" s="14">
        <f>Results!B60</f>
        <v>46199</v>
      </c>
      <c r="C61" s="15">
        <f>Results!C60</f>
        <v>0.04166666667</v>
      </c>
      <c r="D61" t="str">
        <f>Results!E60</f>
        <v>Paraguay</v>
      </c>
      <c r="G61" t="str">
        <f>Results!H60</f>
        <v>Australia</v>
      </c>
      <c r="H61">
        <f t="shared" si="1"/>
        <v>0</v>
      </c>
      <c r="I61">
        <f>if(Results!I60="-",0,IF(OR(AND(H61&gt;0,Results!J60&gt;0),AND(H61&lt;0,Results!J60&lt;0),AND(H61=0,Results!J60=0)),1,0))</f>
        <v>0</v>
      </c>
      <c r="J61">
        <f>IF(K61="-",0,if(K61=Results!I60,3,0))</f>
        <v>0</v>
      </c>
      <c r="K61" t="str">
        <f t="shared" si="2"/>
        <v>-</v>
      </c>
      <c r="L61">
        <f t="shared" si="3"/>
        <v>0</v>
      </c>
    </row>
    <row r="62">
      <c r="A62">
        <f>Results!A61</f>
        <v>6</v>
      </c>
      <c r="B62" s="14">
        <f>Results!B61</f>
        <v>46199</v>
      </c>
      <c r="C62" s="15">
        <f>Results!C61</f>
        <v>0.75</v>
      </c>
      <c r="D62" t="str">
        <f>Results!E61</f>
        <v>Belgium</v>
      </c>
      <c r="G62" t="str">
        <f>Results!H61</f>
        <v>New Zealand</v>
      </c>
      <c r="H62">
        <f t="shared" si="1"/>
        <v>0</v>
      </c>
      <c r="I62">
        <f>if(Results!I61="-",0,IF(OR(AND(H62&gt;0,Results!J61&gt;0),AND(H62&lt;0,Results!J61&lt;0),AND(H62=0,Results!J61=0)),1,0))</f>
        <v>0</v>
      </c>
      <c r="J62">
        <f>IF(K62="-",0,if(K62=Results!I61,3,0))</f>
        <v>0</v>
      </c>
      <c r="K62" t="str">
        <f t="shared" si="2"/>
        <v>-</v>
      </c>
      <c r="L62">
        <f t="shared" si="3"/>
        <v>0</v>
      </c>
    </row>
    <row r="63">
      <c r="A63">
        <f>Results!A62</f>
        <v>6</v>
      </c>
      <c r="B63" s="14">
        <f>Results!B62</f>
        <v>46199</v>
      </c>
      <c r="C63" s="15">
        <f>Results!C62</f>
        <v>0.75</v>
      </c>
      <c r="D63" t="str">
        <f>Results!E62</f>
        <v>Egypt</v>
      </c>
      <c r="G63" t="str">
        <f>Results!H62</f>
        <v>Iran</v>
      </c>
      <c r="H63">
        <f t="shared" si="1"/>
        <v>0</v>
      </c>
      <c r="I63">
        <f>if(Results!I62="-",0,IF(OR(AND(H63&gt;0,Results!J62&gt;0),AND(H63&lt;0,Results!J62&lt;0),AND(H63=0,Results!J62=0)),1,0))</f>
        <v>0</v>
      </c>
      <c r="J63">
        <f>IF(K63="-",0,if(K63=Results!I62,3,0))</f>
        <v>0</v>
      </c>
      <c r="K63" t="str">
        <f t="shared" si="2"/>
        <v>-</v>
      </c>
      <c r="L63">
        <f t="shared" si="3"/>
        <v>0</v>
      </c>
    </row>
    <row r="64">
      <c r="A64">
        <f>Results!A63</f>
        <v>6</v>
      </c>
      <c r="B64" s="14">
        <f>Results!B63</f>
        <v>46199</v>
      </c>
      <c r="C64" s="15">
        <f>Results!C63</f>
        <v>0.875</v>
      </c>
      <c r="D64" t="str">
        <f>Results!E63</f>
        <v>Spain</v>
      </c>
      <c r="G64" t="str">
        <f>Results!H63</f>
        <v>Uruguay</v>
      </c>
      <c r="H64">
        <f t="shared" si="1"/>
        <v>0</v>
      </c>
      <c r="I64">
        <f>if(Results!I63="-",0,IF(OR(AND(H64&gt;0,Results!J63&gt;0),AND(H64&lt;0,Results!J63&lt;0),AND(H64=0,Results!J63=0)),1,0))</f>
        <v>0</v>
      </c>
      <c r="J64">
        <f>IF(K64="-",0,if(K64=Results!I63,3,0))</f>
        <v>0</v>
      </c>
      <c r="K64" t="str">
        <f t="shared" si="2"/>
        <v>-</v>
      </c>
      <c r="L64">
        <f t="shared" si="3"/>
        <v>0</v>
      </c>
    </row>
    <row r="65">
      <c r="A65">
        <f>Results!A64</f>
        <v>6</v>
      </c>
      <c r="B65" s="14">
        <f>Results!B64</f>
        <v>46199</v>
      </c>
      <c r="C65" s="15">
        <f>Results!C64</f>
        <v>0.875</v>
      </c>
      <c r="D65" t="str">
        <f>Results!E64</f>
        <v>Cape Verde</v>
      </c>
      <c r="G65" t="str">
        <f>Results!H64</f>
        <v>Saudi Arabia</v>
      </c>
      <c r="H65">
        <f t="shared" si="1"/>
        <v>0</v>
      </c>
      <c r="I65">
        <f>if(Results!I64="-",0,IF(OR(AND(H65&gt;0,Results!J64&gt;0),AND(H65&lt;0,Results!J64&lt;0),AND(H65=0,Results!J64=0)),1,0))</f>
        <v>0</v>
      </c>
      <c r="J65">
        <f>IF(K65="-",0,if(K65=Results!I64,3,0))</f>
        <v>0</v>
      </c>
      <c r="K65" t="str">
        <f t="shared" si="2"/>
        <v>-</v>
      </c>
      <c r="L65">
        <f t="shared" si="3"/>
        <v>0</v>
      </c>
    </row>
    <row r="66">
      <c r="A66">
        <f>Results!A65</f>
        <v>7</v>
      </c>
      <c r="B66" s="14">
        <f>Results!B65</f>
        <v>46200</v>
      </c>
      <c r="C66" s="15">
        <f>Results!C65</f>
        <v>0.04166666667</v>
      </c>
      <c r="D66" t="str">
        <f>Results!E65</f>
        <v>France</v>
      </c>
      <c r="G66" t="str">
        <f>Results!H65</f>
        <v>Norway</v>
      </c>
      <c r="H66">
        <f t="shared" si="1"/>
        <v>0</v>
      </c>
      <c r="I66">
        <f>if(Results!I65="-",0,IF(OR(AND(H66&gt;0,Results!J65&gt;0),AND(H66&lt;0,Results!J65&lt;0),AND(H66=0,Results!J65=0)),1,0))</f>
        <v>0</v>
      </c>
      <c r="J66">
        <f>IF(K66="-",0,if(K66=Results!I65,3,0))</f>
        <v>0</v>
      </c>
      <c r="K66" t="str">
        <f t="shared" si="2"/>
        <v>-</v>
      </c>
      <c r="L66">
        <f t="shared" si="3"/>
        <v>0</v>
      </c>
    </row>
    <row r="67">
      <c r="A67">
        <f>Results!A66</f>
        <v>7</v>
      </c>
      <c r="B67" s="14">
        <f>Results!B66</f>
        <v>46200</v>
      </c>
      <c r="C67" s="15">
        <f>Results!C66</f>
        <v>0.04166666667</v>
      </c>
      <c r="D67" t="str">
        <f>Results!E66</f>
        <v>Senegal</v>
      </c>
      <c r="G67" t="str">
        <f>Results!H66</f>
        <v>Iraq</v>
      </c>
      <c r="H67">
        <f t="shared" si="1"/>
        <v>0</v>
      </c>
      <c r="I67">
        <f>if(Results!I66="-",0,IF(OR(AND(H67&gt;0,Results!J66&gt;0),AND(H67&lt;0,Results!J66&lt;0),AND(H67=0,Results!J66=0)),1,0))</f>
        <v>0</v>
      </c>
      <c r="J67">
        <f>IF(K67="-",0,if(K67=Results!I66,3,0))</f>
        <v>0</v>
      </c>
      <c r="K67" t="str">
        <f t="shared" si="2"/>
        <v>-</v>
      </c>
      <c r="L67">
        <f t="shared" si="3"/>
        <v>0</v>
      </c>
    </row>
    <row r="68">
      <c r="A68">
        <f>Results!A67</f>
        <v>7</v>
      </c>
      <c r="B68" s="14">
        <f>Results!B67</f>
        <v>46200</v>
      </c>
      <c r="C68" s="15">
        <f>Results!C67</f>
        <v>0.75</v>
      </c>
      <c r="D68" t="str">
        <f>Results!E67</f>
        <v>Jordan</v>
      </c>
      <c r="G68" t="str">
        <f>Results!H67</f>
        <v>Argentina</v>
      </c>
      <c r="H68">
        <f t="shared" si="1"/>
        <v>0</v>
      </c>
      <c r="I68">
        <f>if(Results!I67="-",0,IF(OR(AND(H68&gt;0,Results!J67&gt;0),AND(H68&lt;0,Results!J67&lt;0),AND(H68=0,Results!J67=0)),1,0))</f>
        <v>0</v>
      </c>
      <c r="J68">
        <f>IF(K68="-",0,if(K68=Results!I67,3,0))</f>
        <v>0</v>
      </c>
      <c r="K68" t="str">
        <f t="shared" si="2"/>
        <v>-</v>
      </c>
      <c r="L68">
        <f t="shared" si="3"/>
        <v>0</v>
      </c>
    </row>
    <row r="69">
      <c r="A69">
        <f>Results!A68</f>
        <v>7</v>
      </c>
      <c r="B69" s="14">
        <f>Results!B68</f>
        <v>46200</v>
      </c>
      <c r="C69" s="15">
        <f>Results!C68</f>
        <v>0.75</v>
      </c>
      <c r="D69" t="str">
        <f>Results!E68</f>
        <v>Algeria</v>
      </c>
      <c r="G69" t="str">
        <f>Results!H68</f>
        <v>Austria</v>
      </c>
      <c r="H69">
        <f t="shared" si="1"/>
        <v>0</v>
      </c>
      <c r="I69">
        <f>if(Results!I68="-",0,IF(OR(AND(H69&gt;0,Results!J68&gt;0),AND(H69&lt;0,Results!J68&lt;0),AND(H69=0,Results!J68=0)),1,0))</f>
        <v>0</v>
      </c>
      <c r="J69">
        <f>IF(K69="-",0,if(K69=Results!I68,3,0))</f>
        <v>0</v>
      </c>
      <c r="K69" t="str">
        <f t="shared" si="2"/>
        <v>-</v>
      </c>
      <c r="L69">
        <f t="shared" si="3"/>
        <v>0</v>
      </c>
    </row>
    <row r="70">
      <c r="A70">
        <f>Results!A69</f>
        <v>7</v>
      </c>
      <c r="B70" s="14">
        <f>Results!B69</f>
        <v>46200</v>
      </c>
      <c r="C70" s="15">
        <f>Results!C69</f>
        <v>0.875</v>
      </c>
      <c r="D70" t="str">
        <f>Results!E69</f>
        <v>Colombia</v>
      </c>
      <c r="G70" t="str">
        <f>Results!H69</f>
        <v>Portugal</v>
      </c>
      <c r="H70">
        <f t="shared" si="1"/>
        <v>0</v>
      </c>
      <c r="I70">
        <f>if(Results!I69="-",0,IF(OR(AND(H70&gt;0,Results!J69&gt;0),AND(H70&lt;0,Results!J69&lt;0),AND(H70=0,Results!J69=0)),1,0))</f>
        <v>0</v>
      </c>
      <c r="J70">
        <f>IF(K70="-",0,if(K70=Results!I69,3,0))</f>
        <v>0</v>
      </c>
      <c r="K70" t="str">
        <f t="shared" si="2"/>
        <v>-</v>
      </c>
      <c r="L70">
        <f t="shared" si="3"/>
        <v>0</v>
      </c>
    </row>
    <row r="71">
      <c r="A71">
        <f>Results!A70</f>
        <v>7</v>
      </c>
      <c r="B71" s="14">
        <f>Results!B70</f>
        <v>46200</v>
      </c>
      <c r="C71" s="15">
        <f>Results!C70</f>
        <v>0.875</v>
      </c>
      <c r="D71" t="str">
        <f>Results!E70</f>
        <v>Congo DR</v>
      </c>
      <c r="G71" t="str">
        <f>Results!H70</f>
        <v>Uzbekistan</v>
      </c>
      <c r="H71">
        <f t="shared" si="1"/>
        <v>0</v>
      </c>
      <c r="I71">
        <f>if(Results!I70="-",0,IF(OR(AND(H71&gt;0,Results!J70&gt;0),AND(H71&lt;0,Results!J70&lt;0),AND(H71=0,Results!J70=0)),1,0))</f>
        <v>0</v>
      </c>
      <c r="J71">
        <f>IF(K71="-",0,if(K71=Results!I70,3,0))</f>
        <v>0</v>
      </c>
      <c r="K71" t="str">
        <f t="shared" si="2"/>
        <v>-</v>
      </c>
      <c r="L71">
        <f t="shared" si="3"/>
        <v>0</v>
      </c>
    </row>
    <row r="72">
      <c r="A72">
        <f>Results!A71</f>
        <v>1</v>
      </c>
      <c r="B72" s="14">
        <f>Results!B71</f>
        <v>46201</v>
      </c>
      <c r="C72" s="15">
        <f>Results!C71</f>
        <v>0.04166666667</v>
      </c>
      <c r="D72" t="str">
        <f>Results!E71</f>
        <v>Panama</v>
      </c>
      <c r="G72" t="str">
        <f>Results!H71</f>
        <v>England</v>
      </c>
      <c r="H72">
        <f t="shared" si="1"/>
        <v>0</v>
      </c>
      <c r="I72">
        <f>if(Results!I71="-",0,IF(OR(AND(H72&gt;0,Results!J71&gt;0),AND(H72&lt;0,Results!J71&lt;0),AND(H72=0,Results!J71=0)),1,0))</f>
        <v>0</v>
      </c>
      <c r="J72">
        <f>IF(K72="-",0,if(K72=Results!I71,3,0))</f>
        <v>0</v>
      </c>
      <c r="K72" t="str">
        <f t="shared" si="2"/>
        <v>-</v>
      </c>
      <c r="L72">
        <f t="shared" si="3"/>
        <v>0</v>
      </c>
    </row>
    <row r="73">
      <c r="A73">
        <f>Results!A72</f>
        <v>1</v>
      </c>
      <c r="B73" s="14">
        <f>Results!B72</f>
        <v>46201</v>
      </c>
      <c r="C73" s="15">
        <f>Results!C72</f>
        <v>0.04166666667</v>
      </c>
      <c r="D73" t="str">
        <f>Results!E72</f>
        <v>Croatia</v>
      </c>
      <c r="G73" t="str">
        <f>Results!H72</f>
        <v>Ghana</v>
      </c>
      <c r="H73">
        <f t="shared" si="1"/>
        <v>0</v>
      </c>
      <c r="I73">
        <f>if(Results!I72="-",0,IF(OR(AND(H73&gt;0,Results!J72&gt;0),AND(H73&lt;0,Results!J72&lt;0),AND(H73=0,Results!J72=0)),1,0))</f>
        <v>0</v>
      </c>
      <c r="J73">
        <f>IF(K73="-",0,if(K73=Results!I72,3,0))</f>
        <v>0</v>
      </c>
      <c r="K73" t="str">
        <f t="shared" si="2"/>
        <v>-</v>
      </c>
      <c r="L73">
        <f t="shared" si="3"/>
        <v>0</v>
      </c>
    </row>
    <row r="74">
      <c r="A74">
        <f>Results!A73</f>
        <v>1</v>
      </c>
      <c r="B74" s="14">
        <f>Results!B73</f>
        <v>46201</v>
      </c>
      <c r="C74" s="15">
        <f>Results!C73</f>
        <v>0.75</v>
      </c>
      <c r="D74" t="str">
        <f>Results!E73</f>
        <v>Winner Group A</v>
      </c>
      <c r="G74" t="str">
        <f>Results!H73</f>
        <v>3rd Place Group C/D/E</v>
      </c>
      <c r="H74">
        <f t="shared" si="1"/>
        <v>0</v>
      </c>
      <c r="I74">
        <f>if(Results!I73="-",0,IF(OR(AND(H74&gt;0,Results!J73&gt;0),AND(H74&lt;0,Results!J73&lt;0),AND(H74=0,Results!J73=0)),1,0))</f>
        <v>0</v>
      </c>
      <c r="J74">
        <f>IF(K74="-",0,if(K74=Results!I73,3,0))</f>
        <v>0</v>
      </c>
      <c r="K74" t="str">
        <f t="shared" si="2"/>
        <v>-</v>
      </c>
      <c r="L74">
        <f t="shared" si="3"/>
        <v>0</v>
      </c>
    </row>
    <row r="75">
      <c r="A75">
        <f>Results!A74</f>
        <v>1</v>
      </c>
      <c r="B75" s="14">
        <f>Results!B74</f>
        <v>46201</v>
      </c>
      <c r="C75" s="15">
        <f>Results!C74</f>
        <v>0.8958333333</v>
      </c>
      <c r="D75" t="str">
        <f>Results!E74</f>
        <v>Runner-up Group A</v>
      </c>
      <c r="G75" t="str">
        <f>Results!H74</f>
        <v>Runner-up Group B</v>
      </c>
      <c r="H75">
        <f t="shared" si="1"/>
        <v>0</v>
      </c>
      <c r="I75">
        <f>if(Results!I74="-",0,IF(OR(AND(H75&gt;0,Results!J74&gt;0),AND(H75&lt;0,Results!J74&lt;0),AND(H75=0,Results!J74=0)),1,0))</f>
        <v>0</v>
      </c>
      <c r="J75">
        <f>IF(K75="-",0,if(K75=Results!I74,3,0))</f>
        <v>0</v>
      </c>
      <c r="K75" t="str">
        <f t="shared" si="2"/>
        <v>-</v>
      </c>
      <c r="L75">
        <f t="shared" si="3"/>
        <v>0</v>
      </c>
    </row>
    <row r="76">
      <c r="A76">
        <f>Results!A75</f>
        <v>2</v>
      </c>
      <c r="B76" s="14">
        <f>Results!B75</f>
        <v>46202</v>
      </c>
      <c r="C76" s="15">
        <f>Results!C75</f>
        <v>0.75</v>
      </c>
      <c r="D76" t="str">
        <f>Results!E75</f>
        <v>Winner Group C</v>
      </c>
      <c r="G76" t="str">
        <f>Results!H75</f>
        <v>Runner-up Group D</v>
      </c>
      <c r="H76">
        <f t="shared" si="1"/>
        <v>0</v>
      </c>
      <c r="I76">
        <f>if(Results!I75="-",0,IF(OR(AND(H76&gt;0,Results!J75&gt;0),AND(H76&lt;0,Results!J75&lt;0),AND(H76=0,Results!J75=0)),1,0))</f>
        <v>0</v>
      </c>
      <c r="J76">
        <f>IF(K76="-",0,if(K76=Results!I75,3,0))</f>
        <v>0</v>
      </c>
      <c r="K76" t="str">
        <f t="shared" si="2"/>
        <v>-</v>
      </c>
      <c r="L76">
        <f t="shared" si="3"/>
        <v>0</v>
      </c>
    </row>
    <row r="77">
      <c r="A77">
        <f>Results!A76</f>
        <v>2</v>
      </c>
      <c r="B77" s="14">
        <f>Results!B76</f>
        <v>46202</v>
      </c>
      <c r="C77" s="15">
        <f>Results!C76</f>
        <v>0.8958333333</v>
      </c>
      <c r="D77" t="str">
        <f>Results!E76</f>
        <v>Winner Group E</v>
      </c>
      <c r="G77" t="str">
        <f>Results!H76</f>
        <v>3rd Place Group A/B/C</v>
      </c>
      <c r="H77">
        <f t="shared" si="1"/>
        <v>0</v>
      </c>
      <c r="I77">
        <f>if(Results!I76="-",0,IF(OR(AND(H77&gt;0,Results!J76&gt;0),AND(H77&lt;0,Results!J76&lt;0),AND(H77=0,Results!J76=0)),1,0))</f>
        <v>0</v>
      </c>
      <c r="J77">
        <f>IF(K77="-",0,if(K77=Results!I76,3,0))</f>
        <v>0</v>
      </c>
      <c r="K77" t="str">
        <f t="shared" si="2"/>
        <v>-</v>
      </c>
      <c r="L77">
        <f t="shared" si="3"/>
        <v>0</v>
      </c>
    </row>
    <row r="78">
      <c r="A78">
        <f>Results!A77</f>
        <v>3</v>
      </c>
      <c r="B78" s="14">
        <f>Results!B77</f>
        <v>46203</v>
      </c>
      <c r="C78" s="15">
        <f>Results!C77</f>
        <v>0.75</v>
      </c>
      <c r="D78" t="str">
        <f>Results!E77</f>
        <v>Winner Group F</v>
      </c>
      <c r="G78" t="str">
        <f>Results!H77</f>
        <v>Runner-up Group C</v>
      </c>
      <c r="H78">
        <f t="shared" si="1"/>
        <v>0</v>
      </c>
      <c r="I78">
        <f>if(Results!I77="-",0,IF(OR(AND(H78&gt;0,Results!J77&gt;0),AND(H78&lt;0,Results!J77&lt;0),AND(H78=0,Results!J77=0)),1,0))</f>
        <v>0</v>
      </c>
      <c r="J78">
        <f>IF(K78="-",0,if(K78=Results!I77,3,0))</f>
        <v>0</v>
      </c>
      <c r="K78" t="str">
        <f t="shared" si="2"/>
        <v>-</v>
      </c>
      <c r="L78">
        <f t="shared" si="3"/>
        <v>0</v>
      </c>
    </row>
    <row r="79">
      <c r="A79">
        <f>Results!A78</f>
        <v>3</v>
      </c>
      <c r="B79" s="14">
        <f>Results!B78</f>
        <v>46203</v>
      </c>
      <c r="C79" s="15">
        <f>Results!C78</f>
        <v>0.9166666667</v>
      </c>
      <c r="D79" t="str">
        <f>Results!E78</f>
        <v>Winner Group B</v>
      </c>
      <c r="G79" t="str">
        <f>Results!H78</f>
        <v>3rd Place Group E/F/G</v>
      </c>
      <c r="H79">
        <f t="shared" si="1"/>
        <v>0</v>
      </c>
      <c r="I79">
        <f>if(Results!I78="-",0,IF(OR(AND(H79&gt;0,Results!J78&gt;0),AND(H79&lt;0,Results!J78&lt;0),AND(H79=0,Results!J78=0)),1,0))</f>
        <v>0</v>
      </c>
      <c r="J79">
        <f>IF(K79="-",0,if(K79=Results!I78,3,0))</f>
        <v>0</v>
      </c>
      <c r="K79" t="str">
        <f t="shared" si="2"/>
        <v>-</v>
      </c>
      <c r="L79">
        <f t="shared" si="3"/>
        <v>0</v>
      </c>
    </row>
    <row r="80">
      <c r="A80">
        <f>Results!A79</f>
        <v>4</v>
      </c>
      <c r="B80" s="16">
        <f>Results!B79</f>
        <v>46204</v>
      </c>
      <c r="C80" s="15">
        <f>Results!C79</f>
        <v>0.04166666667</v>
      </c>
      <c r="D80" t="str">
        <f>Results!E79</f>
        <v>Winner Group G</v>
      </c>
      <c r="G80" t="str">
        <f>Results!H79</f>
        <v>Runner-up Group H</v>
      </c>
      <c r="H80">
        <f t="shared" si="1"/>
        <v>0</v>
      </c>
      <c r="I80">
        <f>if(Results!I79="-",0,IF(OR(AND(H80&gt;0,Results!J79&gt;0),AND(H80&lt;0,Results!J79&lt;0),AND(H80=0,Results!J79=0)),1,0))</f>
        <v>0</v>
      </c>
      <c r="J80">
        <f>IF(K80="-",0,if(K80=Results!I79,3,0))</f>
        <v>0</v>
      </c>
      <c r="K80" t="str">
        <f t="shared" si="2"/>
        <v>-</v>
      </c>
      <c r="L80">
        <f t="shared" si="3"/>
        <v>0</v>
      </c>
    </row>
    <row r="81">
      <c r="A81">
        <f>Results!A80</f>
        <v>4</v>
      </c>
      <c r="B81" s="16">
        <f>Results!B80</f>
        <v>46204</v>
      </c>
      <c r="C81" s="15">
        <f>Results!C80</f>
        <v>0.75</v>
      </c>
      <c r="D81" t="str">
        <f>Results!E80</f>
        <v>Winner Group D</v>
      </c>
      <c r="G81" t="str">
        <f>Results!H80</f>
        <v>3rd Place Group I/J/K</v>
      </c>
      <c r="H81">
        <f t="shared" si="1"/>
        <v>0</v>
      </c>
      <c r="I81">
        <f>if(Results!I80="-",0,IF(OR(AND(H81&gt;0,Results!J80&gt;0),AND(H81&lt;0,Results!J80&lt;0),AND(H81=0,Results!J80=0)),1,0))</f>
        <v>0</v>
      </c>
      <c r="J81">
        <f>IF(K81="-",0,if(K81=Results!I80,3,0))</f>
        <v>0</v>
      </c>
      <c r="K81" t="str">
        <f t="shared" si="2"/>
        <v>-</v>
      </c>
      <c r="L81">
        <f t="shared" si="3"/>
        <v>0</v>
      </c>
    </row>
    <row r="82">
      <c r="A82">
        <f>Results!A81</f>
        <v>4</v>
      </c>
      <c r="B82" s="16">
        <f>Results!B81</f>
        <v>46204</v>
      </c>
      <c r="C82" s="15">
        <f>Results!C81</f>
        <v>0.875</v>
      </c>
      <c r="D82" t="str">
        <f>Results!E81</f>
        <v>Winner Group H</v>
      </c>
      <c r="G82" t="str">
        <f>Results!H81</f>
        <v>Runner-up Group G</v>
      </c>
      <c r="H82">
        <f t="shared" si="1"/>
        <v>0</v>
      </c>
      <c r="I82">
        <f>if(Results!I81="-",0,IF(OR(AND(H82&gt;0,Results!J81&gt;0),AND(H82&lt;0,Results!J81&lt;0),AND(H82=0,Results!J81=0)),1,0))</f>
        <v>0</v>
      </c>
      <c r="J82">
        <f>IF(K82="-",0,if(K82=Results!I81,3,0))</f>
        <v>0</v>
      </c>
      <c r="K82" t="str">
        <f t="shared" si="2"/>
        <v>-</v>
      </c>
      <c r="L82">
        <f t="shared" si="3"/>
        <v>0</v>
      </c>
    </row>
    <row r="83">
      <c r="A83">
        <f>Results!A82</f>
        <v>5</v>
      </c>
      <c r="B83" s="16">
        <f>Results!B82</f>
        <v>46205</v>
      </c>
      <c r="C83" s="15">
        <f>Results!C82</f>
        <v>0.04166666667</v>
      </c>
      <c r="D83" t="str">
        <f>Results!E82</f>
        <v>Winner Group I</v>
      </c>
      <c r="G83" t="str">
        <f>Results!H82</f>
        <v>3rd Place Group B/C/F</v>
      </c>
      <c r="H83">
        <f t="shared" si="1"/>
        <v>0</v>
      </c>
      <c r="I83">
        <f>if(Results!I82="-",0,IF(OR(AND(H83&gt;0,Results!J82&gt;0),AND(H83&lt;0,Results!J82&lt;0),AND(H83=0,Results!J82=0)),1,0))</f>
        <v>0</v>
      </c>
      <c r="J83">
        <f>IF(K83="-",0,if(K83=Results!I82,3,0))</f>
        <v>0</v>
      </c>
      <c r="K83" t="str">
        <f t="shared" si="2"/>
        <v>-</v>
      </c>
      <c r="L83">
        <f t="shared" si="3"/>
        <v>0</v>
      </c>
    </row>
    <row r="84">
      <c r="A84">
        <f>Results!A83</f>
        <v>5</v>
      </c>
      <c r="B84" s="16">
        <f>Results!B83</f>
        <v>46205</v>
      </c>
      <c r="C84" s="15">
        <f>Results!C83</f>
        <v>0.75</v>
      </c>
      <c r="D84" t="str">
        <f>Results!E83</f>
        <v>Winner Group J</v>
      </c>
      <c r="G84" t="str">
        <f>Results!H83</f>
        <v>Runner-up Group K</v>
      </c>
      <c r="H84">
        <f t="shared" si="1"/>
        <v>0</v>
      </c>
      <c r="I84">
        <f>if(Results!I83="-",0,IF(OR(AND(H84&gt;0,Results!J83&gt;0),AND(H84&lt;0,Results!J83&lt;0),AND(H84=0,Results!J83=0)),1,0))</f>
        <v>0</v>
      </c>
      <c r="J84">
        <f>IF(K84="-",0,if(K84=Results!I83,3,0))</f>
        <v>0</v>
      </c>
      <c r="K84" t="str">
        <f t="shared" si="2"/>
        <v>-</v>
      </c>
      <c r="L84">
        <f t="shared" si="3"/>
        <v>0</v>
      </c>
    </row>
    <row r="85">
      <c r="A85">
        <f>Results!A84</f>
        <v>5</v>
      </c>
      <c r="B85" s="16">
        <f>Results!B84</f>
        <v>46205</v>
      </c>
      <c r="C85" s="15">
        <f>Results!C84</f>
        <v>0.875</v>
      </c>
      <c r="D85" t="str">
        <f>Results!E84</f>
        <v>Winner Group K</v>
      </c>
      <c r="G85" t="str">
        <f>Results!H84</f>
        <v>Runner-up Group J</v>
      </c>
      <c r="H85">
        <f t="shared" si="1"/>
        <v>0</v>
      </c>
      <c r="I85">
        <f>if(Results!I84="-",0,IF(OR(AND(H85&gt;0,Results!J84&gt;0),AND(H85&lt;0,Results!J84&lt;0),AND(H85=0,Results!J84=0)),1,0))</f>
        <v>0</v>
      </c>
      <c r="J85">
        <f>IF(K85="-",0,if(K85=Results!I84,3,0))</f>
        <v>0</v>
      </c>
      <c r="K85" t="str">
        <f t="shared" si="2"/>
        <v>-</v>
      </c>
      <c r="L85">
        <f t="shared" si="3"/>
        <v>0</v>
      </c>
    </row>
    <row r="86">
      <c r="A86">
        <f>Results!A85</f>
        <v>6</v>
      </c>
      <c r="B86" s="16">
        <f>Results!B85</f>
        <v>46206</v>
      </c>
      <c r="C86" s="15">
        <f>Results!C85</f>
        <v>0.04166666667</v>
      </c>
      <c r="D86" t="str">
        <f>Results!E85</f>
        <v>Winner Group L</v>
      </c>
      <c r="G86" t="str">
        <f>Results!H85</f>
        <v>3rd Place Group A/D/H</v>
      </c>
      <c r="H86">
        <f t="shared" si="1"/>
        <v>0</v>
      </c>
      <c r="I86">
        <f>if(Results!I85="-",0,IF(OR(AND(H86&gt;0,Results!J85&gt;0),AND(H86&lt;0,Results!J85&lt;0),AND(H86=0,Results!J85=0)),1,0))</f>
        <v>0</v>
      </c>
      <c r="J86">
        <f>IF(K86="-",0,if(K86=Results!I85,3,0))</f>
        <v>0</v>
      </c>
      <c r="K86" t="str">
        <f t="shared" si="2"/>
        <v>-</v>
      </c>
      <c r="L86">
        <f t="shared" si="3"/>
        <v>0</v>
      </c>
    </row>
    <row r="87">
      <c r="A87">
        <f>Results!A86</f>
        <v>6</v>
      </c>
      <c r="B87" s="16">
        <f>Results!B86</f>
        <v>46206</v>
      </c>
      <c r="C87" s="15">
        <f>Results!C86</f>
        <v>0.75</v>
      </c>
      <c r="D87" t="str">
        <f>Results!E86</f>
        <v>Runner-up Group D</v>
      </c>
      <c r="G87" t="str">
        <f>Results!H86</f>
        <v>Runner-up Group E</v>
      </c>
      <c r="H87">
        <f t="shared" si="1"/>
        <v>0</v>
      </c>
      <c r="I87">
        <f>if(Results!I86="-",0,IF(OR(AND(H87&gt;0,Results!J86&gt;0),AND(H87&lt;0,Results!J86&lt;0),AND(H87=0,Results!J86=0)),1,0))</f>
        <v>0</v>
      </c>
      <c r="J87">
        <f>IF(K87="-",0,if(K87=Results!I86,3,0))</f>
        <v>0</v>
      </c>
      <c r="K87" t="str">
        <f t="shared" si="2"/>
        <v>-</v>
      </c>
      <c r="L87">
        <f t="shared" si="3"/>
        <v>0</v>
      </c>
    </row>
    <row r="88">
      <c r="A88">
        <f>Results!A87</f>
        <v>6</v>
      </c>
      <c r="B88" s="16">
        <f>Results!B87</f>
        <v>46206</v>
      </c>
      <c r="C88" s="15">
        <f>Results!C87</f>
        <v>0.875</v>
      </c>
      <c r="D88" t="str">
        <f>Results!E87</f>
        <v>Runner-up Group H</v>
      </c>
      <c r="G88" t="str">
        <f>Results!H87</f>
        <v>Runner-up Group I</v>
      </c>
      <c r="H88">
        <f t="shared" si="1"/>
        <v>0</v>
      </c>
      <c r="I88">
        <f>if(Results!I87="-",0,IF(OR(AND(H88&gt;0,Results!J87&gt;0),AND(H88&lt;0,Results!J87&lt;0),AND(H88=0,Results!J87=0)),1,0))</f>
        <v>0</v>
      </c>
      <c r="J88">
        <f>IF(K88="-",0,if(K88=Results!I87,3,0))</f>
        <v>0</v>
      </c>
      <c r="K88" t="str">
        <f t="shared" si="2"/>
        <v>-</v>
      </c>
      <c r="L88">
        <f t="shared" si="3"/>
        <v>0</v>
      </c>
    </row>
    <row r="89">
      <c r="A89">
        <f>Results!A88</f>
        <v>7</v>
      </c>
      <c r="B89" s="16">
        <f>Results!B88</f>
        <v>46207</v>
      </c>
      <c r="C89" s="15">
        <f>Results!C88</f>
        <v>0.04166666667</v>
      </c>
      <c r="D89" t="str">
        <f>Results!E88</f>
        <v>Runner-up Group L</v>
      </c>
      <c r="G89" t="str">
        <f>Results!H88</f>
        <v>Runner-up Group K</v>
      </c>
      <c r="H89">
        <f t="shared" si="1"/>
        <v>0</v>
      </c>
      <c r="I89">
        <f>if(Results!I88="-",0,IF(OR(AND(H89&gt;0,Results!J88&gt;0),AND(H89&lt;0,Results!J88&lt;0),AND(H89=0,Results!J88=0)),1,0))</f>
        <v>0</v>
      </c>
      <c r="J89">
        <f>IF(K89="-",0,if(K89=Results!I88,3,0))</f>
        <v>0</v>
      </c>
      <c r="K89" t="str">
        <f t="shared" si="2"/>
        <v>-</v>
      </c>
      <c r="L89">
        <f t="shared" si="3"/>
        <v>0</v>
      </c>
    </row>
    <row r="90">
      <c r="A90">
        <f>Results!A89</f>
        <v>7</v>
      </c>
      <c r="B90" s="16">
        <f>Results!B89</f>
        <v>46207</v>
      </c>
      <c r="C90" s="15">
        <f>Results!C89</f>
        <v>0.75</v>
      </c>
      <c r="D90" t="str">
        <f>Results!E89</f>
        <v>Winner Match 73</v>
      </c>
      <c r="G90" t="str">
        <f>Results!H89</f>
        <v>Winner Match 74</v>
      </c>
      <c r="H90">
        <f t="shared" si="1"/>
        <v>0</v>
      </c>
      <c r="I90">
        <f>if(Results!I89="-",0,IF(OR(AND(H90&gt;0,Results!J89&gt;0),AND(H90&lt;0,Results!J89&lt;0),AND(H90=0,Results!J89=0)),1,0))</f>
        <v>0</v>
      </c>
      <c r="J90">
        <f>IF(K90="-",0,if(K90=Results!I89,3,0))</f>
        <v>0</v>
      </c>
      <c r="K90" t="str">
        <f t="shared" si="2"/>
        <v>-</v>
      </c>
      <c r="L90">
        <f t="shared" si="3"/>
        <v>0</v>
      </c>
    </row>
    <row r="91">
      <c r="A91">
        <f>Results!A90</f>
        <v>7</v>
      </c>
      <c r="B91" s="16">
        <f>Results!B90</f>
        <v>46207</v>
      </c>
      <c r="C91" s="15">
        <f>Results!C90</f>
        <v>0.8958333333</v>
      </c>
      <c r="D91" t="str">
        <f>Results!E90</f>
        <v>Winner Match 75</v>
      </c>
      <c r="G91" t="str">
        <f>Results!H90</f>
        <v>Winner Match 76</v>
      </c>
      <c r="H91">
        <f t="shared" si="1"/>
        <v>0</v>
      </c>
      <c r="I91">
        <f>if(Results!I90="-",0,IF(OR(AND(H91&gt;0,Results!J90&gt;0),AND(H91&lt;0,Results!J90&lt;0),AND(H91=0,Results!J90=0)),1,0))</f>
        <v>0</v>
      </c>
      <c r="J91">
        <f>IF(K91="-",0,if(K91=Results!I90,3,0))</f>
        <v>0</v>
      </c>
      <c r="K91" t="str">
        <f t="shared" si="2"/>
        <v>-</v>
      </c>
      <c r="L91">
        <f t="shared" si="3"/>
        <v>0</v>
      </c>
    </row>
    <row r="92">
      <c r="A92">
        <f>Results!A91</f>
        <v>1</v>
      </c>
      <c r="B92" s="16">
        <f>Results!B91</f>
        <v>46208</v>
      </c>
      <c r="C92" s="15">
        <f>Results!C91</f>
        <v>0.75</v>
      </c>
      <c r="D92" t="str">
        <f>Results!E91</f>
        <v>Winner Match 77</v>
      </c>
      <c r="G92" t="str">
        <f>Results!H91</f>
        <v>Winner Match 78</v>
      </c>
      <c r="H92">
        <f t="shared" si="1"/>
        <v>0</v>
      </c>
      <c r="I92">
        <f>if(Results!I91="-",0,IF(OR(AND(H92&gt;0,Results!J91&gt;0),AND(H92&lt;0,Results!J91&lt;0),AND(H92=0,Results!J91=0)),1,0))</f>
        <v>0</v>
      </c>
      <c r="J92">
        <f>IF(K92="-",0,if(K92=Results!I91,3,0))</f>
        <v>0</v>
      </c>
      <c r="K92" t="str">
        <f t="shared" si="2"/>
        <v>-</v>
      </c>
      <c r="L92">
        <f t="shared" si="3"/>
        <v>0</v>
      </c>
    </row>
    <row r="93">
      <c r="A93">
        <f>Results!A92</f>
        <v>1</v>
      </c>
      <c r="B93" s="16">
        <f>Results!B92</f>
        <v>46208</v>
      </c>
      <c r="C93" s="15">
        <f>Results!C92</f>
        <v>0.8958333333</v>
      </c>
      <c r="D93" t="str">
        <f>Results!E92</f>
        <v>Winner Match 79</v>
      </c>
      <c r="G93" t="str">
        <f>Results!H92</f>
        <v>Winner Match 80</v>
      </c>
      <c r="H93">
        <f t="shared" si="1"/>
        <v>0</v>
      </c>
      <c r="I93">
        <f>if(Results!I92="-",0,IF(OR(AND(H93&gt;0,Results!J92&gt;0),AND(H93&lt;0,Results!J92&lt;0),AND(H93=0,Results!J92=0)),1,0))</f>
        <v>0</v>
      </c>
      <c r="J93">
        <f>IF(K93="-",0,if(K93=Results!I92,3,0))</f>
        <v>0</v>
      </c>
      <c r="K93" t="str">
        <f t="shared" si="2"/>
        <v>-</v>
      </c>
      <c r="L93">
        <f t="shared" si="3"/>
        <v>0</v>
      </c>
    </row>
    <row r="94">
      <c r="A94">
        <f>Results!A93</f>
        <v>2</v>
      </c>
      <c r="B94" s="16">
        <f>Results!B93</f>
        <v>46209</v>
      </c>
      <c r="C94" s="15">
        <f>Results!C93</f>
        <v>0.75</v>
      </c>
      <c r="D94" t="str">
        <f>Results!E93</f>
        <v>Winner Match 81</v>
      </c>
      <c r="G94" t="str">
        <f>Results!H93</f>
        <v>Winner Match 82</v>
      </c>
      <c r="H94">
        <f t="shared" si="1"/>
        <v>0</v>
      </c>
      <c r="I94">
        <f>if(Results!I93="-",0,IF(OR(AND(H94&gt;0,Results!J93&gt;0),AND(H94&lt;0,Results!J93&lt;0),AND(H94=0,Results!J93=0)),1,0))</f>
        <v>0</v>
      </c>
      <c r="J94">
        <f>IF(K94="-",0,if(K94=Results!I93,3,0))</f>
        <v>0</v>
      </c>
      <c r="K94" t="str">
        <f t="shared" si="2"/>
        <v>-</v>
      </c>
      <c r="L94">
        <f t="shared" si="3"/>
        <v>0</v>
      </c>
    </row>
    <row r="95">
      <c r="A95">
        <f>Results!A94</f>
        <v>2</v>
      </c>
      <c r="B95" s="16">
        <f>Results!B94</f>
        <v>46209</v>
      </c>
      <c r="C95" s="15">
        <f>Results!C94</f>
        <v>0.8958333333</v>
      </c>
      <c r="D95" t="str">
        <f>Results!E94</f>
        <v>Winner Match 83</v>
      </c>
      <c r="G95" t="str">
        <f>Results!H94</f>
        <v>Winner Match 84</v>
      </c>
      <c r="H95">
        <f t="shared" si="1"/>
        <v>0</v>
      </c>
      <c r="I95">
        <f>if(Results!I94="-",0,IF(OR(AND(H95&gt;0,Results!J94&gt;0),AND(H95&lt;0,Results!J94&lt;0),AND(H95=0,Results!J94=0)),1,0))</f>
        <v>0</v>
      </c>
      <c r="J95">
        <f>IF(K95="-",0,if(K95=Results!I94,3,0))</f>
        <v>0</v>
      </c>
      <c r="K95" t="str">
        <f t="shared" si="2"/>
        <v>-</v>
      </c>
      <c r="L95">
        <f t="shared" si="3"/>
        <v>0</v>
      </c>
    </row>
    <row r="96">
      <c r="A96">
        <f>Results!A95</f>
        <v>3</v>
      </c>
      <c r="B96" s="16">
        <f>Results!B95</f>
        <v>46210</v>
      </c>
      <c r="C96" s="15">
        <f>Results!C95</f>
        <v>0.75</v>
      </c>
      <c r="D96" t="str">
        <f>Results!E95</f>
        <v>Winner Match 85</v>
      </c>
      <c r="G96" t="str">
        <f>Results!H95</f>
        <v>Winner Match 86</v>
      </c>
      <c r="H96">
        <f t="shared" si="1"/>
        <v>0</v>
      </c>
      <c r="I96">
        <f>if(Results!I95="-",0,IF(OR(AND(H96&gt;0,Results!J95&gt;0),AND(H96&lt;0,Results!J95&lt;0),AND(H96=0,Results!J95=0)),1,0))</f>
        <v>0</v>
      </c>
      <c r="J96">
        <f>IF(K96="-",0,if(K96=Results!I95,3,0))</f>
        <v>0</v>
      </c>
      <c r="K96" t="str">
        <f t="shared" si="2"/>
        <v>-</v>
      </c>
      <c r="L96">
        <f t="shared" si="3"/>
        <v>0</v>
      </c>
    </row>
    <row r="97">
      <c r="A97">
        <f>Results!A96</f>
        <v>3</v>
      </c>
      <c r="B97" s="16">
        <f>Results!B96</f>
        <v>46210</v>
      </c>
      <c r="C97" s="15">
        <f>Results!C96</f>
        <v>0.8958333333</v>
      </c>
      <c r="D97" t="str">
        <f>Results!E96</f>
        <v>Winner Match 87</v>
      </c>
      <c r="G97" t="str">
        <f>Results!H96</f>
        <v>Winner Match 88</v>
      </c>
      <c r="H97">
        <f t="shared" si="1"/>
        <v>0</v>
      </c>
      <c r="I97">
        <f>if(Results!I96="-",0,IF(OR(AND(H97&gt;0,Results!J96&gt;0),AND(H97&lt;0,Results!J96&lt;0),AND(H97=0,Results!J96=0)),1,0))</f>
        <v>0</v>
      </c>
      <c r="J97">
        <f>IF(K97="-",0,if(K97=Results!I96,3,0))</f>
        <v>0</v>
      </c>
      <c r="K97" t="str">
        <f t="shared" si="2"/>
        <v>-</v>
      </c>
      <c r="L97">
        <f t="shared" si="3"/>
        <v>0</v>
      </c>
    </row>
    <row r="98">
      <c r="A98">
        <f>Results!A97</f>
        <v>5</v>
      </c>
      <c r="B98" s="16">
        <f>Results!B97</f>
        <v>46212</v>
      </c>
      <c r="C98" s="15">
        <f>Results!C97</f>
        <v>0.8333333333</v>
      </c>
      <c r="D98" t="str">
        <f>Results!E97</f>
        <v>Winner Match 89</v>
      </c>
      <c r="G98" t="str">
        <f>Results!H97</f>
        <v>Winner Match 90</v>
      </c>
      <c r="H98">
        <f t="shared" si="1"/>
        <v>0</v>
      </c>
      <c r="I98">
        <f>if(Results!I97="-",0,IF(OR(AND(H98&gt;0,Results!J97&gt;0),AND(H98&lt;0,Results!J97&lt;0),AND(H98=0,Results!J97=0)),1,0))</f>
        <v>0</v>
      </c>
      <c r="J98">
        <f>IF(K98="-",0,if(K98=Results!I97,3,0))</f>
        <v>0</v>
      </c>
      <c r="K98" t="str">
        <f t="shared" si="2"/>
        <v>-</v>
      </c>
      <c r="L98">
        <f t="shared" si="3"/>
        <v>0</v>
      </c>
    </row>
    <row r="99">
      <c r="A99">
        <f>Results!A98</f>
        <v>6</v>
      </c>
      <c r="B99" s="14">
        <f>Results!B98</f>
        <v>46213</v>
      </c>
      <c r="C99" s="15">
        <f>Results!C98</f>
        <v>0.8333333333</v>
      </c>
      <c r="D99" t="str">
        <f>Results!E98</f>
        <v>Winner Match 91</v>
      </c>
      <c r="G99" t="str">
        <f>Results!H98</f>
        <v>Winner Match 92</v>
      </c>
      <c r="H99">
        <f t="shared" si="1"/>
        <v>0</v>
      </c>
      <c r="I99">
        <f>if(Results!I98="-",0,IF(OR(AND(H99&gt;0,Results!J98&gt;0),AND(H99&lt;0,Results!J98&lt;0),AND(H99=0,Results!J98=0)),1,0))</f>
        <v>0</v>
      </c>
      <c r="J99">
        <f>IF(K99="-",0,if(K99=Results!I98,3,0))</f>
        <v>0</v>
      </c>
      <c r="K99" t="str">
        <f t="shared" si="2"/>
        <v>-</v>
      </c>
      <c r="L99">
        <f t="shared" si="3"/>
        <v>0</v>
      </c>
    </row>
    <row r="100">
      <c r="A100">
        <f>Results!A99</f>
        <v>7</v>
      </c>
      <c r="B100" s="14">
        <f>Results!B99</f>
        <v>46214</v>
      </c>
      <c r="C100" s="15">
        <f>Results!C99</f>
        <v>0.75</v>
      </c>
      <c r="D100" t="str">
        <f>Results!E99</f>
        <v>Winner Match 93</v>
      </c>
      <c r="G100" t="str">
        <f>Results!H99</f>
        <v>Winner Match 94</v>
      </c>
      <c r="H100">
        <f t="shared" si="1"/>
        <v>0</v>
      </c>
      <c r="I100">
        <f>if(Results!I99="-",0,IF(OR(AND(H100&gt;0,Results!J99&gt;0),AND(H100&lt;0,Results!J99&lt;0),AND(H100=0,Results!J99=0)),1,0))</f>
        <v>0</v>
      </c>
      <c r="J100">
        <f>IF(K100="-",0,if(K100=Results!I99,3,0))</f>
        <v>0</v>
      </c>
      <c r="K100" t="str">
        <f t="shared" si="2"/>
        <v>-</v>
      </c>
      <c r="L100">
        <f t="shared" si="3"/>
        <v>0</v>
      </c>
    </row>
    <row r="101">
      <c r="A101">
        <f>Results!A100</f>
        <v>7</v>
      </c>
      <c r="B101" s="14">
        <f>Results!B100</f>
        <v>46214</v>
      </c>
      <c r="C101" s="15">
        <f>Results!C100</f>
        <v>0.8958333333</v>
      </c>
      <c r="D101" t="str">
        <f>Results!E100</f>
        <v>Winner Match 95</v>
      </c>
      <c r="G101" t="str">
        <f>Results!H100</f>
        <v>Winner Match 96</v>
      </c>
      <c r="H101">
        <f t="shared" si="1"/>
        <v>0</v>
      </c>
      <c r="I101">
        <f>if(Results!I100="-",0,IF(OR(AND(H101&gt;0,Results!J100&gt;0),AND(H101&lt;0,Results!J100&lt;0),AND(H101=0,Results!J100=0)),1,0))</f>
        <v>0</v>
      </c>
      <c r="J101">
        <f>IF(K101="-",0,if(K101=Results!I100,3,0))</f>
        <v>0</v>
      </c>
      <c r="K101" t="str">
        <f t="shared" si="2"/>
        <v>-</v>
      </c>
      <c r="L101">
        <f t="shared" si="3"/>
        <v>0</v>
      </c>
    </row>
    <row r="102">
      <c r="A102">
        <f>Results!A101</f>
        <v>3</v>
      </c>
      <c r="B102" s="14">
        <f>Results!B101</f>
        <v>46217</v>
      </c>
      <c r="C102" s="15">
        <f>Results!C101</f>
        <v>0.8333333333</v>
      </c>
      <c r="D102" t="str">
        <f>Results!E101</f>
        <v>Winner Match 97</v>
      </c>
      <c r="G102" t="str">
        <f>Results!H101</f>
        <v>Winner Match 98</v>
      </c>
      <c r="H102">
        <f t="shared" si="1"/>
        <v>0</v>
      </c>
      <c r="I102">
        <f>if(Results!I101="-",0,IF(OR(AND(H102&gt;0,Results!J101&gt;0),AND(H102&lt;0,Results!J101&lt;0),AND(H102=0,Results!J101=0)),1,0))</f>
        <v>0</v>
      </c>
      <c r="J102">
        <f>IF(K102="-",0,if(K102=Results!I101,3,0))</f>
        <v>0</v>
      </c>
      <c r="K102" t="str">
        <f t="shared" si="2"/>
        <v>-</v>
      </c>
      <c r="L102">
        <f t="shared" si="3"/>
        <v>0</v>
      </c>
    </row>
    <row r="103">
      <c r="A103">
        <f>Results!A102</f>
        <v>4</v>
      </c>
      <c r="B103" s="14">
        <f>Results!B102</f>
        <v>46218</v>
      </c>
      <c r="C103" s="15">
        <f>Results!C102</f>
        <v>0.8333333333</v>
      </c>
      <c r="D103" t="str">
        <f>Results!E102</f>
        <v>Winner Match 99</v>
      </c>
      <c r="G103" t="str">
        <f>Results!H102</f>
        <v>Winner Match 100</v>
      </c>
      <c r="H103">
        <f t="shared" si="1"/>
        <v>0</v>
      </c>
      <c r="I103">
        <f>if(Results!I102="-",0,IF(OR(AND(H103&gt;0,Results!J102&gt;0),AND(H103&lt;0,Results!J102&lt;0),AND(H103=0,Results!J102=0)),1,0))</f>
        <v>0</v>
      </c>
      <c r="J103">
        <f>IF(K103="-",0,if(K103=Results!I102,3,0))</f>
        <v>0</v>
      </c>
      <c r="K103" t="str">
        <f t="shared" si="2"/>
        <v>-</v>
      </c>
      <c r="L103">
        <f t="shared" si="3"/>
        <v>0</v>
      </c>
    </row>
    <row r="104">
      <c r="A104">
        <f>Results!A103</f>
        <v>7</v>
      </c>
      <c r="B104" s="14">
        <f>Results!B103</f>
        <v>46221</v>
      </c>
      <c r="C104" s="15">
        <f>Results!C103</f>
        <v>0.8333333333</v>
      </c>
      <c r="D104" t="str">
        <f>Results!E103</f>
        <v>Loser Match 101</v>
      </c>
      <c r="G104" t="str">
        <f>Results!H103</f>
        <v>Loser Match 102</v>
      </c>
      <c r="H104">
        <f t="shared" si="1"/>
        <v>0</v>
      </c>
      <c r="I104">
        <f>if(Results!I103="-",0,IF(OR(AND(H104&gt;0,Results!J103&gt;0),AND(H104&lt;0,Results!J103&lt;0),AND(H104=0,Results!J103=0)),1,0))</f>
        <v>0</v>
      </c>
      <c r="J104">
        <f>IF(K104="-",0,if(K104=Results!I103,3,0))</f>
        <v>0</v>
      </c>
      <c r="K104" t="str">
        <f t="shared" si="2"/>
        <v>-</v>
      </c>
      <c r="L104">
        <f t="shared" si="3"/>
        <v>0</v>
      </c>
    </row>
    <row r="105">
      <c r="A105">
        <f>Results!A104</f>
        <v>1</v>
      </c>
      <c r="B105" s="14">
        <f>Results!B104</f>
        <v>46222</v>
      </c>
      <c r="C105" s="15">
        <f>Results!C104</f>
        <v>0.8333333333</v>
      </c>
      <c r="D105" t="str">
        <f>Results!E104</f>
        <v>Winner Match 101</v>
      </c>
      <c r="G105" t="str">
        <f>Results!H104</f>
        <v>Winner Match 102</v>
      </c>
      <c r="H105">
        <f t="shared" si="1"/>
        <v>0</v>
      </c>
      <c r="I105">
        <f>if(Results!I104="-",0,IF(OR(AND(H105&gt;0,Results!J104&gt;0),AND(H105&lt;0,Results!J104&lt;0),AND(H105=0,Results!J104=0)),1,0))</f>
        <v>0</v>
      </c>
      <c r="J105">
        <f>IF(K105="-",0,if(K105=Results!I104,3,0))</f>
        <v>0</v>
      </c>
      <c r="K105" t="str">
        <f t="shared" si="2"/>
        <v>-</v>
      </c>
      <c r="L105">
        <f t="shared" si="3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9"/>
      <c r="F1" s="9"/>
    </row>
    <row r="2">
      <c r="A2">
        <f>Results!A1</f>
        <v>5</v>
      </c>
      <c r="B2" s="14">
        <f>Results!B1</f>
        <v>46184</v>
      </c>
      <c r="C2" s="15">
        <f>Results!C1</f>
        <v>0.8333333333</v>
      </c>
      <c r="D2" t="str">
        <f>Results!E1</f>
        <v>Mexico</v>
      </c>
      <c r="E2" s="9">
        <v>2.0</v>
      </c>
      <c r="F2" s="9">
        <v>1.0</v>
      </c>
      <c r="G2" t="str">
        <f>Results!H1</f>
        <v>South Africa</v>
      </c>
      <c r="H2">
        <f t="shared" ref="H2:H105" si="1">E2-F2</f>
        <v>1</v>
      </c>
      <c r="I2">
        <f>if(Results!I1="-",0,IF(OR(AND(H2&gt;0,Results!J1&gt;0),AND(H2&lt;0,Results!J1&lt;0),AND(H2=0,Results!J1=0)),1,0))</f>
        <v>1</v>
      </c>
      <c r="J2">
        <f>IF(K2="-",0,if(K2=Results!I1,3,0))</f>
        <v>0</v>
      </c>
      <c r="K2" t="str">
        <f t="shared" ref="K2:K105" si="2">E2&amp;"-"&amp;F2</f>
        <v>2-1</v>
      </c>
      <c r="L2">
        <f t="shared" ref="L2:L105" si="3">MAX(I2,J2)</f>
        <v>1</v>
      </c>
    </row>
    <row r="3">
      <c r="A3">
        <f>Results!A2</f>
        <v>6</v>
      </c>
      <c r="B3" s="14">
        <f>Results!B2</f>
        <v>46185</v>
      </c>
      <c r="C3" s="15">
        <f>Results!C2</f>
        <v>0.125</v>
      </c>
      <c r="D3" t="str">
        <f>Results!E2</f>
        <v>South Korea</v>
      </c>
      <c r="E3" s="9">
        <v>1.0</v>
      </c>
      <c r="F3" s="9">
        <v>0.0</v>
      </c>
      <c r="G3" t="str">
        <f>Results!H2</f>
        <v>Czech Republic</v>
      </c>
      <c r="H3">
        <f t="shared" si="1"/>
        <v>1</v>
      </c>
      <c r="I3">
        <f>if(Results!I2="-",0,IF(OR(AND(H3&gt;0,Results!J2&gt;0),AND(H3&lt;0,Results!J2&lt;0),AND(H3=0,Results!J2=0)),1,0))</f>
        <v>1</v>
      </c>
      <c r="J3">
        <f>IF(K3="-",0,if(K3=Results!I2,3,0))</f>
        <v>0</v>
      </c>
      <c r="K3" t="str">
        <f t="shared" si="2"/>
        <v>1-0</v>
      </c>
      <c r="L3">
        <f t="shared" si="3"/>
        <v>1</v>
      </c>
    </row>
    <row r="4">
      <c r="A4">
        <f>Results!A3</f>
        <v>6</v>
      </c>
      <c r="B4" s="14">
        <f>Results!B3</f>
        <v>46185</v>
      </c>
      <c r="C4" s="15">
        <f>Results!C3</f>
        <v>0.8333333333</v>
      </c>
      <c r="D4" t="str">
        <f>Results!E3</f>
        <v>Canada</v>
      </c>
      <c r="E4" s="9">
        <v>1.0</v>
      </c>
      <c r="F4" s="9">
        <v>1.0</v>
      </c>
      <c r="G4" t="str">
        <f>Results!H3</f>
        <v>Bosnia and Herzegovina</v>
      </c>
      <c r="H4">
        <f t="shared" si="1"/>
        <v>0</v>
      </c>
      <c r="I4">
        <f>if(Results!I3="-",0,IF(OR(AND(H4&gt;0,Results!J3&gt;0),AND(H4&lt;0,Results!J3&lt;0),AND(H4=0,Results!J3=0)),1,0))</f>
        <v>1</v>
      </c>
      <c r="J4">
        <f>IF(K4="-",0,if(K4=Results!I3,3,0))</f>
        <v>3</v>
      </c>
      <c r="K4" t="str">
        <f t="shared" si="2"/>
        <v>1-1</v>
      </c>
      <c r="L4">
        <f t="shared" si="3"/>
        <v>3</v>
      </c>
    </row>
    <row r="5">
      <c r="A5">
        <f>Results!A4</f>
        <v>7</v>
      </c>
      <c r="B5" s="14">
        <f>Results!B4</f>
        <v>46186</v>
      </c>
      <c r="C5" s="15">
        <f>Results!C4</f>
        <v>0.08333333333</v>
      </c>
      <c r="D5" t="str">
        <f>Results!E4</f>
        <v>USA</v>
      </c>
      <c r="G5" t="str">
        <f>Results!H4</f>
        <v>Paraguay</v>
      </c>
      <c r="H5">
        <f t="shared" si="1"/>
        <v>0</v>
      </c>
      <c r="I5">
        <f>if(Results!I4="-",0,IF(OR(AND(H5&gt;0,Results!J4&gt;0),AND(H5&lt;0,Results!J4&lt;0),AND(H5=0,Results!J4=0)),1,0))</f>
        <v>0</v>
      </c>
      <c r="J5">
        <f>IF(K5="-",0,if(K5=Results!I4,3,0))</f>
        <v>0</v>
      </c>
      <c r="K5" t="str">
        <f t="shared" si="2"/>
        <v>-</v>
      </c>
      <c r="L5">
        <f t="shared" si="3"/>
        <v>0</v>
      </c>
    </row>
    <row r="6">
      <c r="A6">
        <f>Results!A5</f>
        <v>7</v>
      </c>
      <c r="B6" s="14">
        <f>Results!B5</f>
        <v>46186</v>
      </c>
      <c r="C6" s="15">
        <f>Results!C5</f>
        <v>0.8333333333</v>
      </c>
      <c r="D6" t="str">
        <f>Results!E5</f>
        <v>Qatar</v>
      </c>
      <c r="E6" s="9">
        <v>0.0</v>
      </c>
      <c r="F6" s="9">
        <v>2.0</v>
      </c>
      <c r="G6" t="str">
        <f>Results!H5</f>
        <v>Switzerland</v>
      </c>
      <c r="H6">
        <f t="shared" si="1"/>
        <v>-2</v>
      </c>
      <c r="I6">
        <f>if(Results!I5="-",0,IF(OR(AND(H6&gt;0,Results!J5&gt;0),AND(H6&lt;0,Results!J5&lt;0),AND(H6=0,Results!J5=0)),1,0))</f>
        <v>0</v>
      </c>
      <c r="J6">
        <f>IF(K6="-",0,if(K6=Results!I5,3,0))</f>
        <v>0</v>
      </c>
      <c r="K6" t="str">
        <f t="shared" si="2"/>
        <v>0-2</v>
      </c>
      <c r="L6">
        <f t="shared" si="3"/>
        <v>0</v>
      </c>
    </row>
    <row r="7">
      <c r="A7">
        <f>Results!A6</f>
        <v>7</v>
      </c>
      <c r="B7" s="14">
        <f>Results!B6</f>
        <v>46186</v>
      </c>
      <c r="C7" s="15">
        <f>Results!C6</f>
        <v>0.9583333333</v>
      </c>
      <c r="D7" t="str">
        <f>Results!E6</f>
        <v>Brazil</v>
      </c>
      <c r="E7" s="9">
        <v>1.0</v>
      </c>
      <c r="F7" s="9">
        <v>1.0</v>
      </c>
      <c r="G7" t="str">
        <f>Results!H6</f>
        <v>Morocco</v>
      </c>
      <c r="H7">
        <f t="shared" si="1"/>
        <v>0</v>
      </c>
      <c r="I7">
        <f>if(Results!I6="-",0,IF(OR(AND(H7&gt;0,Results!J6&gt;0),AND(H7&lt;0,Results!J6&lt;0),AND(H7=0,Results!J6=0)),1,0))</f>
        <v>1</v>
      </c>
      <c r="J7">
        <f>IF(K7="-",0,if(K7=Results!I6,3,0))</f>
        <v>3</v>
      </c>
      <c r="K7" t="str">
        <f t="shared" si="2"/>
        <v>1-1</v>
      </c>
      <c r="L7">
        <f t="shared" si="3"/>
        <v>3</v>
      </c>
    </row>
    <row r="8">
      <c r="A8">
        <f>Results!A7</f>
        <v>1</v>
      </c>
      <c r="B8" s="14">
        <f>Results!B7</f>
        <v>46187</v>
      </c>
      <c r="C8" s="15">
        <f>Results!C7</f>
        <v>0.08333333333</v>
      </c>
      <c r="D8" t="str">
        <f>Results!E7</f>
        <v>Haiti</v>
      </c>
      <c r="E8" s="9">
        <v>0.0</v>
      </c>
      <c r="F8" s="9">
        <v>3.0</v>
      </c>
      <c r="G8" t="str">
        <f>Results!H7</f>
        <v>Scotland</v>
      </c>
      <c r="H8">
        <f t="shared" si="1"/>
        <v>-3</v>
      </c>
      <c r="I8">
        <f>if(Results!I7="-",0,IF(OR(AND(H8&gt;0,Results!J7&gt;0),AND(H8&lt;0,Results!J7&lt;0),AND(H8=0,Results!J7=0)),1,0))</f>
        <v>1</v>
      </c>
      <c r="J8">
        <f>IF(K8="-",0,if(K8=Results!I7,3,0))</f>
        <v>0</v>
      </c>
      <c r="K8" t="str">
        <f t="shared" si="2"/>
        <v>0-3</v>
      </c>
      <c r="L8">
        <f t="shared" si="3"/>
        <v>1</v>
      </c>
    </row>
    <row r="9">
      <c r="A9">
        <f>Results!A8</f>
        <v>1</v>
      </c>
      <c r="B9" s="14">
        <f>Results!B8</f>
        <v>46187</v>
      </c>
      <c r="C9" s="15">
        <f>Results!C8</f>
        <v>0.2083333333</v>
      </c>
      <c r="D9" t="str">
        <f>Results!E8</f>
        <v>Australia</v>
      </c>
      <c r="G9" t="str">
        <f>Results!H8</f>
        <v>Türkiye</v>
      </c>
      <c r="H9">
        <f t="shared" si="1"/>
        <v>0</v>
      </c>
      <c r="I9">
        <f>if(Results!I8="-",0,IF(OR(AND(H9&gt;0,Results!J8&gt;0),AND(H9&lt;0,Results!J8&lt;0),AND(H9=0,Results!J8=0)),1,0))</f>
        <v>0</v>
      </c>
      <c r="J9">
        <f>IF(K9="-",0,if(K9=Results!I8,3,0))</f>
        <v>0</v>
      </c>
      <c r="K9" t="str">
        <f t="shared" si="2"/>
        <v>-</v>
      </c>
      <c r="L9">
        <f t="shared" si="3"/>
        <v>0</v>
      </c>
    </row>
    <row r="10">
      <c r="A10">
        <f>Results!A9</f>
        <v>1</v>
      </c>
      <c r="B10" s="14">
        <f>Results!B9</f>
        <v>46187</v>
      </c>
      <c r="C10" s="15">
        <f>Results!C9</f>
        <v>0.75</v>
      </c>
      <c r="D10" t="str">
        <f>Results!E9</f>
        <v>Germany</v>
      </c>
      <c r="E10" s="9">
        <v>5.0</v>
      </c>
      <c r="F10" s="9">
        <v>0.0</v>
      </c>
      <c r="G10" t="str">
        <f>Results!H9</f>
        <v>Curaçao</v>
      </c>
      <c r="H10">
        <f t="shared" si="1"/>
        <v>5</v>
      </c>
      <c r="I10">
        <f>if(Results!I9="-",0,IF(OR(AND(H10&gt;0,Results!J9&gt;0),AND(H10&lt;0,Results!J9&lt;0),AND(H10=0,Results!J9=0)),1,0))</f>
        <v>1</v>
      </c>
      <c r="J10">
        <f>IF(K10="-",0,if(K10=Results!I9,3,0))</f>
        <v>0</v>
      </c>
      <c r="K10" t="str">
        <f t="shared" si="2"/>
        <v>5-0</v>
      </c>
      <c r="L10">
        <f t="shared" si="3"/>
        <v>1</v>
      </c>
    </row>
    <row r="11">
      <c r="A11">
        <f>Results!A10</f>
        <v>1</v>
      </c>
      <c r="B11" s="14">
        <f>Results!B10</f>
        <v>46187</v>
      </c>
      <c r="C11" s="15">
        <f>Results!C10</f>
        <v>0.875</v>
      </c>
      <c r="D11" t="str">
        <f>Results!E10</f>
        <v>Netherlands</v>
      </c>
      <c r="E11" s="9">
        <v>2.0</v>
      </c>
      <c r="F11" s="9">
        <v>1.0</v>
      </c>
      <c r="G11" t="str">
        <f>Results!H10</f>
        <v>Japan</v>
      </c>
      <c r="H11">
        <f t="shared" si="1"/>
        <v>1</v>
      </c>
      <c r="I11">
        <f>if(Results!I10="-",0,IF(OR(AND(H11&gt;0,Results!J10&gt;0),AND(H11&lt;0,Results!J10&lt;0),AND(H11=0,Results!J10=0)),1,0))</f>
        <v>0</v>
      </c>
      <c r="J11">
        <f>IF(K11="-",0,if(K11=Results!I10,3,0))</f>
        <v>0</v>
      </c>
      <c r="K11" t="str">
        <f t="shared" si="2"/>
        <v>2-1</v>
      </c>
      <c r="L11">
        <f t="shared" si="3"/>
        <v>0</v>
      </c>
    </row>
    <row r="12">
      <c r="A12">
        <f>Results!A11</f>
        <v>2</v>
      </c>
      <c r="B12" s="14">
        <f>Results!B11</f>
        <v>46188</v>
      </c>
      <c r="C12" s="15">
        <f>Results!C11</f>
        <v>0</v>
      </c>
      <c r="D12" t="str">
        <f>Results!E11</f>
        <v>Ivory Coast</v>
      </c>
      <c r="E12" s="9">
        <v>1.0</v>
      </c>
      <c r="F12" s="9">
        <v>1.0</v>
      </c>
      <c r="G12" t="str">
        <f>Results!H11</f>
        <v>Ecuador</v>
      </c>
      <c r="H12">
        <f t="shared" si="1"/>
        <v>0</v>
      </c>
      <c r="I12">
        <f>if(Results!I11="-",0,IF(OR(AND(H12&gt;0,Results!J11&gt;0),AND(H12&lt;0,Results!J11&lt;0),AND(H12=0,Results!J11=0)),1,0))</f>
        <v>0</v>
      </c>
      <c r="J12">
        <f>IF(K12="-",0,if(K12=Results!I11,3,0))</f>
        <v>0</v>
      </c>
      <c r="K12" t="str">
        <f t="shared" si="2"/>
        <v>1-1</v>
      </c>
      <c r="L12">
        <f t="shared" si="3"/>
        <v>0</v>
      </c>
    </row>
    <row r="13">
      <c r="A13">
        <f>Results!A12</f>
        <v>2</v>
      </c>
      <c r="B13" s="14">
        <f>Results!B12</f>
        <v>46188</v>
      </c>
      <c r="C13" s="15">
        <f>Results!C12</f>
        <v>0.125</v>
      </c>
      <c r="D13" t="str">
        <f>Results!E12</f>
        <v>Sweden</v>
      </c>
      <c r="E13" s="9">
        <v>2.0</v>
      </c>
      <c r="F13" s="9">
        <v>0.0</v>
      </c>
      <c r="G13" t="str">
        <f>Results!H12</f>
        <v>Tunisia</v>
      </c>
      <c r="H13">
        <f t="shared" si="1"/>
        <v>2</v>
      </c>
      <c r="I13">
        <f>if(Results!I12="-",0,IF(OR(AND(H13&gt;0,Results!J12&gt;0),AND(H13&lt;0,Results!J12&lt;0),AND(H13=0,Results!J12=0)),1,0))</f>
        <v>1</v>
      </c>
      <c r="J13">
        <f>IF(K13="-",0,if(K13=Results!I12,3,0))</f>
        <v>0</v>
      </c>
      <c r="K13" t="str">
        <f t="shared" si="2"/>
        <v>2-0</v>
      </c>
      <c r="L13">
        <f t="shared" si="3"/>
        <v>1</v>
      </c>
    </row>
    <row r="14">
      <c r="A14">
        <f>Results!A13</f>
        <v>2</v>
      </c>
      <c r="B14" s="14">
        <f>Results!B13</f>
        <v>46188</v>
      </c>
      <c r="C14" s="15">
        <f>Results!C13</f>
        <v>0.7083333333</v>
      </c>
      <c r="D14" t="str">
        <f>Results!E13</f>
        <v>Spain</v>
      </c>
      <c r="E14" s="9">
        <v>2.0</v>
      </c>
      <c r="F14" s="9">
        <v>0.0</v>
      </c>
      <c r="G14" t="str">
        <f>Results!H13</f>
        <v>Cape Verde</v>
      </c>
      <c r="H14">
        <f t="shared" si="1"/>
        <v>2</v>
      </c>
      <c r="I14">
        <f>if(Results!I13="-",0,IF(OR(AND(H14&gt;0,Results!J13&gt;0),AND(H14&lt;0,Results!J13&lt;0),AND(H14=0,Results!J13=0)),1,0))</f>
        <v>0</v>
      </c>
      <c r="J14">
        <f>IF(K14="-",0,if(K14=Results!I13,3,0))</f>
        <v>0</v>
      </c>
      <c r="K14" t="str">
        <f t="shared" si="2"/>
        <v>2-0</v>
      </c>
      <c r="L14">
        <f t="shared" si="3"/>
        <v>0</v>
      </c>
    </row>
    <row r="15">
      <c r="A15">
        <f>Results!A14</f>
        <v>2</v>
      </c>
      <c r="B15" s="14">
        <f>Results!B14</f>
        <v>46188</v>
      </c>
      <c r="C15" s="15">
        <f>Results!C14</f>
        <v>0.8333333333</v>
      </c>
      <c r="D15" t="str">
        <f>Results!E14</f>
        <v>Belgium</v>
      </c>
      <c r="E15" s="9">
        <v>2.0</v>
      </c>
      <c r="F15" s="9">
        <v>1.0</v>
      </c>
      <c r="G15" t="str">
        <f>Results!H14</f>
        <v>Egypt</v>
      </c>
      <c r="H15">
        <f t="shared" si="1"/>
        <v>1</v>
      </c>
      <c r="I15">
        <f>if(Results!I14="-",0,IF(OR(AND(H15&gt;0,Results!J14&gt;0),AND(H15&lt;0,Results!J14&lt;0),AND(H15=0,Results!J14=0)),1,0))</f>
        <v>0</v>
      </c>
      <c r="J15">
        <f>IF(K15="-",0,if(K15=Results!I14,3,0))</f>
        <v>0</v>
      </c>
      <c r="K15" t="str">
        <f t="shared" si="2"/>
        <v>2-1</v>
      </c>
      <c r="L15">
        <f t="shared" si="3"/>
        <v>0</v>
      </c>
    </row>
    <row r="16">
      <c r="A16">
        <f>Results!A15</f>
        <v>2</v>
      </c>
      <c r="B16" s="14">
        <f>Results!B15</f>
        <v>46188</v>
      </c>
      <c r="C16" s="15">
        <f>Results!C15</f>
        <v>0.9583333333</v>
      </c>
      <c r="D16" t="str">
        <f>Results!E15</f>
        <v>Saudi Arabia</v>
      </c>
      <c r="E16" s="9">
        <v>1.0</v>
      </c>
      <c r="F16" s="9">
        <v>2.0</v>
      </c>
      <c r="G16" t="str">
        <f>Results!H15</f>
        <v>Uruguay</v>
      </c>
      <c r="H16">
        <f t="shared" si="1"/>
        <v>-1</v>
      </c>
      <c r="I16">
        <f>if(Results!I15="-",0,IF(OR(AND(H16&gt;0,Results!J15&gt;0),AND(H16&lt;0,Results!J15&lt;0),AND(H16=0,Results!J15=0)),1,0))</f>
        <v>0</v>
      </c>
      <c r="J16">
        <f>IF(K16="-",0,if(K16=Results!I15,3,0))</f>
        <v>0</v>
      </c>
      <c r="K16" t="str">
        <f t="shared" si="2"/>
        <v>1-2</v>
      </c>
      <c r="L16">
        <f t="shared" si="3"/>
        <v>0</v>
      </c>
    </row>
    <row r="17">
      <c r="A17">
        <f>Results!A16</f>
        <v>3</v>
      </c>
      <c r="B17" s="14">
        <f>Results!B16</f>
        <v>46189</v>
      </c>
      <c r="C17" s="15">
        <f>Results!C16</f>
        <v>0.08333333333</v>
      </c>
      <c r="D17" t="str">
        <f>Results!E16</f>
        <v>Iran</v>
      </c>
      <c r="E17" s="9">
        <v>3.0</v>
      </c>
      <c r="F17" s="9">
        <v>0.0</v>
      </c>
      <c r="G17" t="str">
        <f>Results!H16</f>
        <v>New Zealand</v>
      </c>
      <c r="H17">
        <f t="shared" si="1"/>
        <v>3</v>
      </c>
      <c r="I17">
        <f>if(Results!I16="-",0,IF(OR(AND(H17&gt;0,Results!J16&gt;0),AND(H17&lt;0,Results!J16&lt;0),AND(H17=0,Results!J16=0)),1,0))</f>
        <v>0</v>
      </c>
      <c r="J17">
        <f>IF(K17="-",0,if(K17=Results!I16,3,0))</f>
        <v>0</v>
      </c>
      <c r="K17" t="str">
        <f t="shared" si="2"/>
        <v>3-0</v>
      </c>
      <c r="L17">
        <f t="shared" si="3"/>
        <v>0</v>
      </c>
    </row>
    <row r="18">
      <c r="A18">
        <f>Results!A17</f>
        <v>3</v>
      </c>
      <c r="B18" s="14">
        <f>Results!B17</f>
        <v>46189</v>
      </c>
      <c r="C18" s="15">
        <f>Results!C17</f>
        <v>0.8333333333</v>
      </c>
      <c r="D18" t="str">
        <f>Results!E17</f>
        <v>France</v>
      </c>
      <c r="E18" s="9">
        <v>2.0</v>
      </c>
      <c r="F18" s="9">
        <v>2.0</v>
      </c>
      <c r="G18" t="str">
        <f>Results!H17</f>
        <v>Senegal</v>
      </c>
      <c r="H18">
        <f t="shared" si="1"/>
        <v>0</v>
      </c>
      <c r="I18">
        <f>if(Results!I17="-",0,IF(OR(AND(H18&gt;0,Results!J17&gt;0),AND(H18&lt;0,Results!J17&lt;0),AND(H18=0,Results!J17=0)),1,0))</f>
        <v>0</v>
      </c>
      <c r="J18">
        <f>IF(K18="-",0,if(K18=Results!I17,3,0))</f>
        <v>0</v>
      </c>
      <c r="K18" t="str">
        <f t="shared" si="2"/>
        <v>2-2</v>
      </c>
      <c r="L18">
        <f t="shared" si="3"/>
        <v>0</v>
      </c>
    </row>
    <row r="19">
      <c r="A19">
        <f>Results!A18</f>
        <v>3</v>
      </c>
      <c r="B19" s="14">
        <f>Results!B18</f>
        <v>46189</v>
      </c>
      <c r="C19" s="15">
        <f>Results!C18</f>
        <v>0.9583333333</v>
      </c>
      <c r="D19" t="str">
        <f>Results!E18</f>
        <v>Iraq</v>
      </c>
      <c r="E19" s="9">
        <v>0.0</v>
      </c>
      <c r="F19" s="9">
        <v>4.0</v>
      </c>
      <c r="G19" t="str">
        <f>Results!H18</f>
        <v>Norway</v>
      </c>
      <c r="H19">
        <f t="shared" si="1"/>
        <v>-4</v>
      </c>
      <c r="I19">
        <f>if(Results!I18="-",0,IF(OR(AND(H19&gt;0,Results!J18&gt;0),AND(H19&lt;0,Results!J18&lt;0),AND(H19=0,Results!J18=0)),1,0))</f>
        <v>1</v>
      </c>
      <c r="J19">
        <f>IF(K19="-",0,if(K19=Results!I18,3,0))</f>
        <v>0</v>
      </c>
      <c r="K19" t="str">
        <f t="shared" si="2"/>
        <v>0-4</v>
      </c>
      <c r="L19">
        <f t="shared" si="3"/>
        <v>1</v>
      </c>
    </row>
    <row r="20">
      <c r="A20">
        <f>Results!A19</f>
        <v>4</v>
      </c>
      <c r="B20" s="14">
        <f>Results!B19</f>
        <v>46190</v>
      </c>
      <c r="C20" s="15">
        <f>Results!C19</f>
        <v>0.08333333333</v>
      </c>
      <c r="D20" t="str">
        <f>Results!E19</f>
        <v>Argentina</v>
      </c>
      <c r="E20" s="9">
        <v>2.0</v>
      </c>
      <c r="F20" s="9">
        <v>1.0</v>
      </c>
      <c r="G20" t="str">
        <f>Results!H19</f>
        <v>Algeria</v>
      </c>
      <c r="H20">
        <f t="shared" si="1"/>
        <v>1</v>
      </c>
      <c r="I20">
        <f>if(Results!I19="-",0,IF(OR(AND(H20&gt;0,Results!J19&gt;0),AND(H20&lt;0,Results!J19&lt;0),AND(H20=0,Results!J19=0)),1,0))</f>
        <v>1</v>
      </c>
      <c r="J20">
        <f>IF(K20="-",0,if(K20=Results!I19,3,0))</f>
        <v>0</v>
      </c>
      <c r="K20" t="str">
        <f t="shared" si="2"/>
        <v>2-1</v>
      </c>
      <c r="L20">
        <f t="shared" si="3"/>
        <v>1</v>
      </c>
    </row>
    <row r="21">
      <c r="A21">
        <f>Results!A20</f>
        <v>4</v>
      </c>
      <c r="B21" s="14">
        <f>Results!B20</f>
        <v>46190</v>
      </c>
      <c r="C21" s="15">
        <f>Results!C20</f>
        <v>0.2083333333</v>
      </c>
      <c r="D21" t="str">
        <f>Results!E20</f>
        <v>Austria</v>
      </c>
      <c r="E21" s="9">
        <v>2.0</v>
      </c>
      <c r="F21" s="9">
        <v>0.0</v>
      </c>
      <c r="G21" t="str">
        <f>Results!H20</f>
        <v>Jordan</v>
      </c>
      <c r="H21">
        <f t="shared" si="1"/>
        <v>2</v>
      </c>
      <c r="I21">
        <f>if(Results!I20="-",0,IF(OR(AND(H21&gt;0,Results!J20&gt;0),AND(H21&lt;0,Results!J20&lt;0),AND(H21=0,Results!J20=0)),1,0))</f>
        <v>1</v>
      </c>
      <c r="J21">
        <f>IF(K21="-",0,if(K21=Results!I20,3,0))</f>
        <v>0</v>
      </c>
      <c r="K21" t="str">
        <f t="shared" si="2"/>
        <v>2-0</v>
      </c>
      <c r="L21">
        <f t="shared" si="3"/>
        <v>1</v>
      </c>
    </row>
    <row r="22">
      <c r="A22">
        <f>Results!A21</f>
        <v>4</v>
      </c>
      <c r="B22" s="14">
        <f>Results!B21</f>
        <v>46190</v>
      </c>
      <c r="C22" s="15">
        <f>Results!C21</f>
        <v>0.75</v>
      </c>
      <c r="D22" t="str">
        <f>Results!E21</f>
        <v>Portugal</v>
      </c>
      <c r="E22" s="9">
        <v>2.0</v>
      </c>
      <c r="F22" s="9">
        <v>1.0</v>
      </c>
      <c r="G22" t="str">
        <f>Results!H21</f>
        <v>Congo DR</v>
      </c>
      <c r="H22">
        <f t="shared" si="1"/>
        <v>1</v>
      </c>
      <c r="I22">
        <f>if(Results!I21="-",0,IF(OR(AND(H22&gt;0,Results!J21&gt;0),AND(H22&lt;0,Results!J21&lt;0),AND(H22=0,Results!J21=0)),1,0))</f>
        <v>0</v>
      </c>
      <c r="J22">
        <f>IF(K22="-",0,if(K22=Results!I21,3,0))</f>
        <v>0</v>
      </c>
      <c r="K22" t="str">
        <f t="shared" si="2"/>
        <v>2-1</v>
      </c>
      <c r="L22">
        <f t="shared" si="3"/>
        <v>0</v>
      </c>
    </row>
    <row r="23">
      <c r="A23">
        <f>Results!A22</f>
        <v>4</v>
      </c>
      <c r="B23" s="14">
        <f>Results!B22</f>
        <v>46190</v>
      </c>
      <c r="C23" s="15">
        <f>Results!C22</f>
        <v>0.875</v>
      </c>
      <c r="D23" t="str">
        <f>Results!E22</f>
        <v>England</v>
      </c>
      <c r="E23" s="9">
        <v>1.0</v>
      </c>
      <c r="F23" s="9">
        <v>1.0</v>
      </c>
      <c r="G23" t="str">
        <f>Results!H22</f>
        <v>Croatia</v>
      </c>
      <c r="H23">
        <f t="shared" si="1"/>
        <v>0</v>
      </c>
      <c r="I23">
        <f>if(Results!I22="-",0,IF(OR(AND(H23&gt;0,Results!J22&gt;0),AND(H23&lt;0,Results!J22&lt;0),AND(H23=0,Results!J22=0)),1,0))</f>
        <v>0</v>
      </c>
      <c r="J23">
        <f>IF(K23="-",0,if(K23=Results!I22,3,0))</f>
        <v>0</v>
      </c>
      <c r="K23" t="str">
        <f t="shared" si="2"/>
        <v>1-1</v>
      </c>
      <c r="L23">
        <f t="shared" si="3"/>
        <v>0</v>
      </c>
    </row>
    <row r="24">
      <c r="A24">
        <f>Results!A23</f>
        <v>5</v>
      </c>
      <c r="B24" s="14">
        <f>Results!B23</f>
        <v>46191</v>
      </c>
      <c r="C24" s="15">
        <f>Results!C23</f>
        <v>0</v>
      </c>
      <c r="D24" t="str">
        <f>Results!E23</f>
        <v>Ghana</v>
      </c>
      <c r="E24" s="9">
        <v>2.0</v>
      </c>
      <c r="F24" s="9">
        <v>0.0</v>
      </c>
      <c r="G24" t="str">
        <f>Results!H23</f>
        <v>Panama</v>
      </c>
      <c r="H24">
        <f t="shared" si="1"/>
        <v>2</v>
      </c>
      <c r="I24">
        <f>if(Results!I23="-",0,IF(OR(AND(H24&gt;0,Results!J23&gt;0),AND(H24&lt;0,Results!J23&lt;0),AND(H24=0,Results!J23=0)),1,0))</f>
        <v>1</v>
      </c>
      <c r="J24">
        <f>IF(K24="-",0,if(K24=Results!I23,3,0))</f>
        <v>0</v>
      </c>
      <c r="K24" t="str">
        <f t="shared" si="2"/>
        <v>2-0</v>
      </c>
      <c r="L24">
        <f t="shared" si="3"/>
        <v>1</v>
      </c>
    </row>
    <row r="25">
      <c r="A25">
        <f>Results!A24</f>
        <v>5</v>
      </c>
      <c r="B25" s="14">
        <f>Results!B24</f>
        <v>46191</v>
      </c>
      <c r="C25" s="15">
        <f>Results!C24</f>
        <v>0.125</v>
      </c>
      <c r="D25" t="str">
        <f>Results!E24</f>
        <v>Uzbekistan</v>
      </c>
      <c r="E25" s="9">
        <v>1.0</v>
      </c>
      <c r="F25" s="9">
        <v>1.0</v>
      </c>
      <c r="G25" t="str">
        <f>Results!H24</f>
        <v>Colombia</v>
      </c>
      <c r="H25">
        <f t="shared" si="1"/>
        <v>0</v>
      </c>
      <c r="I25">
        <f>if(Results!I24="-",0,IF(OR(AND(H25&gt;0,Results!J24&gt;0),AND(H25&lt;0,Results!J24&lt;0),AND(H25=0,Results!J24=0)),1,0))</f>
        <v>0</v>
      </c>
      <c r="J25">
        <f>IF(K25="-",0,if(K25=Results!I24,3,0))</f>
        <v>0</v>
      </c>
      <c r="K25" t="str">
        <f t="shared" si="2"/>
        <v>1-1</v>
      </c>
      <c r="L25">
        <f t="shared" si="3"/>
        <v>0</v>
      </c>
    </row>
    <row r="26">
      <c r="A26">
        <f>Results!A25</f>
        <v>5</v>
      </c>
      <c r="B26" s="14">
        <f>Results!B25</f>
        <v>46191</v>
      </c>
      <c r="C26" s="15">
        <f>Results!C25</f>
        <v>0.7083333333</v>
      </c>
      <c r="D26" t="str">
        <f>Results!E25</f>
        <v>Czechia</v>
      </c>
      <c r="G26" t="str">
        <f>Results!H25</f>
        <v>South Africa</v>
      </c>
      <c r="H26">
        <f t="shared" si="1"/>
        <v>0</v>
      </c>
      <c r="I26">
        <f>if(Results!I25="-",0,IF(OR(AND(H26&gt;0,Results!J25&gt;0),AND(H26&lt;0,Results!J25&lt;0),AND(H26=0,Results!J25=0)),1,0))</f>
        <v>1</v>
      </c>
      <c r="J26">
        <f>IF(K26="-",0,if(K26=Results!I25,3,0))</f>
        <v>0</v>
      </c>
      <c r="K26" t="str">
        <f t="shared" si="2"/>
        <v>-</v>
      </c>
      <c r="L26">
        <f t="shared" si="3"/>
        <v>1</v>
      </c>
    </row>
    <row r="27">
      <c r="A27">
        <f>Results!A26</f>
        <v>5</v>
      </c>
      <c r="B27" s="14">
        <f>Results!B26</f>
        <v>46191</v>
      </c>
      <c r="C27" s="15">
        <f>Results!C26</f>
        <v>0.8333333333</v>
      </c>
      <c r="D27" t="str">
        <f>Results!E26</f>
        <v>Switzerland</v>
      </c>
      <c r="E27" s="9">
        <v>2.0</v>
      </c>
      <c r="F27" s="9">
        <v>0.0</v>
      </c>
      <c r="G27" t="str">
        <f>Results!H26</f>
        <v>Bosnia and Herzegovina</v>
      </c>
      <c r="H27">
        <f t="shared" si="1"/>
        <v>2</v>
      </c>
      <c r="I27">
        <f>if(Results!I26="-",0,IF(OR(AND(H27&gt;0,Results!J26&gt;0),AND(H27&lt;0,Results!J26&lt;0),AND(H27=0,Results!J26=0)),1,0))</f>
        <v>1</v>
      </c>
      <c r="J27">
        <f>IF(K27="-",0,if(K27=Results!I26,3,0))</f>
        <v>0</v>
      </c>
      <c r="K27" t="str">
        <f t="shared" si="2"/>
        <v>2-0</v>
      </c>
      <c r="L27">
        <f t="shared" si="3"/>
        <v>1</v>
      </c>
    </row>
    <row r="28">
      <c r="A28">
        <f>Results!A27</f>
        <v>5</v>
      </c>
      <c r="B28" s="14">
        <f>Results!B27</f>
        <v>46191</v>
      </c>
      <c r="C28" s="15">
        <f>Results!C27</f>
        <v>0.9583333333</v>
      </c>
      <c r="D28" t="str">
        <f>Results!E27</f>
        <v>Canada</v>
      </c>
      <c r="E28" s="9">
        <v>2.0</v>
      </c>
      <c r="F28" s="9">
        <v>1.0</v>
      </c>
      <c r="G28" t="str">
        <f>Results!H27</f>
        <v>Qatar</v>
      </c>
      <c r="H28">
        <f t="shared" si="1"/>
        <v>1</v>
      </c>
      <c r="I28">
        <f>if(Results!I27="-",0,IF(OR(AND(H28&gt;0,Results!J27&gt;0),AND(H28&lt;0,Results!J27&lt;0),AND(H28=0,Results!J27=0)),1,0))</f>
        <v>1</v>
      </c>
      <c r="J28">
        <f>IF(K28="-",0,if(K28=Results!I27,3,0))</f>
        <v>0</v>
      </c>
      <c r="K28" t="str">
        <f t="shared" si="2"/>
        <v>2-1</v>
      </c>
      <c r="L28">
        <f t="shared" si="3"/>
        <v>1</v>
      </c>
    </row>
    <row r="29">
      <c r="A29">
        <f>Results!A28</f>
        <v>6</v>
      </c>
      <c r="B29" s="14">
        <f>Results!B28</f>
        <v>46192</v>
      </c>
      <c r="C29" s="15">
        <f>Results!C28</f>
        <v>0.08333333333</v>
      </c>
      <c r="D29" t="str">
        <f>Results!E28</f>
        <v>Mexico</v>
      </c>
      <c r="E29" s="9">
        <v>2.0</v>
      </c>
      <c r="F29" s="9">
        <v>2.0</v>
      </c>
      <c r="G29" t="str">
        <f>Results!H28</f>
        <v>South Korea</v>
      </c>
      <c r="H29">
        <f t="shared" si="1"/>
        <v>0</v>
      </c>
      <c r="I29">
        <f>if(Results!I28="-",0,IF(OR(AND(H29&gt;0,Results!J28&gt;0),AND(H29&lt;0,Results!J28&lt;0),AND(H29=0,Results!J28=0)),1,0))</f>
        <v>0</v>
      </c>
      <c r="J29">
        <f>IF(K29="-",0,if(K29=Results!I28,3,0))</f>
        <v>0</v>
      </c>
      <c r="K29" t="str">
        <f t="shared" si="2"/>
        <v>2-2</v>
      </c>
      <c r="L29">
        <f t="shared" si="3"/>
        <v>0</v>
      </c>
    </row>
    <row r="30">
      <c r="A30">
        <f>Results!A29</f>
        <v>6</v>
      </c>
      <c r="B30" s="14">
        <f>Results!B29</f>
        <v>46192</v>
      </c>
      <c r="C30" s="15">
        <f>Results!C29</f>
        <v>0.8333333333</v>
      </c>
      <c r="D30" t="str">
        <f>Results!E29</f>
        <v>USA</v>
      </c>
      <c r="E30" s="9">
        <v>2.0</v>
      </c>
      <c r="F30" s="9">
        <v>1.0</v>
      </c>
      <c r="G30" t="str">
        <f>Results!H29</f>
        <v>Australia</v>
      </c>
      <c r="H30">
        <f t="shared" si="1"/>
        <v>1</v>
      </c>
      <c r="I30">
        <f>if(Results!I29="-",0,IF(OR(AND(H30&gt;0,Results!J29&gt;0),AND(H30&lt;0,Results!J29&lt;0),AND(H30=0,Results!J29=0)),1,0))</f>
        <v>1</v>
      </c>
      <c r="J30">
        <f>IF(K30="-",0,if(K30=Results!I29,3,0))</f>
        <v>0</v>
      </c>
      <c r="K30" t="str">
        <f t="shared" si="2"/>
        <v>2-1</v>
      </c>
      <c r="L30">
        <f t="shared" si="3"/>
        <v>1</v>
      </c>
    </row>
    <row r="31">
      <c r="A31">
        <f>Results!A30</f>
        <v>6</v>
      </c>
      <c r="B31" s="14">
        <f>Results!B30</f>
        <v>46192</v>
      </c>
      <c r="C31" s="15">
        <f>Results!C30</f>
        <v>0.9583333333</v>
      </c>
      <c r="D31" t="str">
        <f>Results!E30</f>
        <v>Scotland</v>
      </c>
      <c r="E31" s="9">
        <v>0.0</v>
      </c>
      <c r="F31" s="9">
        <v>1.0</v>
      </c>
      <c r="G31" t="str">
        <f>Results!H30</f>
        <v>Morocco</v>
      </c>
      <c r="H31">
        <f t="shared" si="1"/>
        <v>-1</v>
      </c>
      <c r="I31">
        <f>if(Results!I30="-",0,IF(OR(AND(H31&gt;0,Results!J30&gt;0),AND(H31&lt;0,Results!J30&lt;0),AND(H31=0,Results!J30=0)),1,0))</f>
        <v>1</v>
      </c>
      <c r="J31">
        <f>IF(K31="-",0,if(K31=Results!I30,3,0))</f>
        <v>3</v>
      </c>
      <c r="K31" t="str">
        <f t="shared" si="2"/>
        <v>0-1</v>
      </c>
      <c r="L31">
        <f t="shared" si="3"/>
        <v>3</v>
      </c>
    </row>
    <row r="32">
      <c r="A32">
        <f>Results!A31</f>
        <v>7</v>
      </c>
      <c r="B32" s="14">
        <f>Results!B31</f>
        <v>46193</v>
      </c>
      <c r="C32" s="15">
        <f>Results!C31</f>
        <v>0.0625</v>
      </c>
      <c r="D32" t="str">
        <f>Results!E31</f>
        <v>Brazil</v>
      </c>
      <c r="E32" s="9">
        <v>3.0</v>
      </c>
      <c r="F32" s="9">
        <v>0.0</v>
      </c>
      <c r="G32" t="str">
        <f>Results!H31</f>
        <v>Haiti</v>
      </c>
      <c r="H32">
        <f t="shared" si="1"/>
        <v>3</v>
      </c>
      <c r="I32">
        <f>if(Results!I31="-",0,IF(OR(AND(H32&gt;0,Results!J31&gt;0),AND(H32&lt;0,Results!J31&lt;0),AND(H32=0,Results!J31=0)),1,0))</f>
        <v>1</v>
      </c>
      <c r="J32">
        <f>IF(K32="-",0,if(K32=Results!I31,3,0))</f>
        <v>3</v>
      </c>
      <c r="K32" t="str">
        <f t="shared" si="2"/>
        <v>3-0</v>
      </c>
      <c r="L32">
        <f t="shared" si="3"/>
        <v>3</v>
      </c>
    </row>
    <row r="33">
      <c r="A33">
        <f>Results!A32</f>
        <v>7</v>
      </c>
      <c r="B33" s="14">
        <f>Results!B32</f>
        <v>46193</v>
      </c>
      <c r="C33" s="15">
        <f>Results!C32</f>
        <v>0.1666666667</v>
      </c>
      <c r="D33" t="str">
        <f>Results!E32</f>
        <v>Turkey</v>
      </c>
      <c r="E33" s="9">
        <v>2.0</v>
      </c>
      <c r="F33" s="9">
        <v>1.0</v>
      </c>
      <c r="G33" t="str">
        <f>Results!H32</f>
        <v>Paraguay</v>
      </c>
      <c r="H33">
        <f t="shared" si="1"/>
        <v>1</v>
      </c>
      <c r="I33">
        <f>if(Results!I32="-",0,IF(OR(AND(H33&gt;0,Results!J32&gt;0),AND(H33&lt;0,Results!J32&lt;0),AND(H33=0,Results!J32=0)),1,0))</f>
        <v>0</v>
      </c>
      <c r="J33">
        <f>IF(K33="-",0,if(K33=Results!I32,3,0))</f>
        <v>0</v>
      </c>
      <c r="K33" t="str">
        <f t="shared" si="2"/>
        <v>2-1</v>
      </c>
      <c r="L33">
        <f t="shared" si="3"/>
        <v>0</v>
      </c>
    </row>
    <row r="34">
      <c r="A34">
        <f>Results!A33</f>
        <v>7</v>
      </c>
      <c r="B34" s="14">
        <f>Results!B33</f>
        <v>46193</v>
      </c>
      <c r="C34" s="15">
        <f>Results!C33</f>
        <v>0.75</v>
      </c>
      <c r="D34" t="str">
        <f>Results!E33</f>
        <v>Netherlands</v>
      </c>
      <c r="G34" t="str">
        <f>Results!H33</f>
        <v>Sweden</v>
      </c>
      <c r="H34">
        <f t="shared" si="1"/>
        <v>0</v>
      </c>
      <c r="I34">
        <f>if(Results!I33="-",0,IF(OR(AND(H34&gt;0,Results!J33&gt;0),AND(H34&lt;0,Results!J33&lt;0),AND(H34=0,Results!J33=0)),1,0))</f>
        <v>0</v>
      </c>
      <c r="J34">
        <f>IF(K34="-",0,if(K34=Results!I33,3,0))</f>
        <v>0</v>
      </c>
      <c r="K34" t="str">
        <f t="shared" si="2"/>
        <v>-</v>
      </c>
      <c r="L34">
        <f t="shared" si="3"/>
        <v>0</v>
      </c>
    </row>
    <row r="35">
      <c r="A35">
        <f>Results!A34</f>
        <v>7</v>
      </c>
      <c r="B35" s="14">
        <f>Results!B34</f>
        <v>46193</v>
      </c>
      <c r="C35" s="15">
        <f>Results!C34</f>
        <v>0.875</v>
      </c>
      <c r="D35" t="str">
        <f>Results!E34</f>
        <v>Germany</v>
      </c>
      <c r="G35" t="str">
        <f>Results!H34</f>
        <v>Ivory Coast</v>
      </c>
      <c r="H35">
        <f t="shared" si="1"/>
        <v>0</v>
      </c>
      <c r="I35">
        <f>if(Results!I34="-",0,IF(OR(AND(H35&gt;0,Results!J34&gt;0),AND(H35&lt;0,Results!J34&lt;0),AND(H35=0,Results!J34=0)),1,0))</f>
        <v>0</v>
      </c>
      <c r="J35">
        <f>IF(K35="-",0,if(K35=Results!I34,3,0))</f>
        <v>0</v>
      </c>
      <c r="K35" t="str">
        <f t="shared" si="2"/>
        <v>-</v>
      </c>
      <c r="L35">
        <f t="shared" si="3"/>
        <v>0</v>
      </c>
    </row>
    <row r="36">
      <c r="A36">
        <f>Results!A35</f>
        <v>1</v>
      </c>
      <c r="B36" s="14">
        <f>Results!B35</f>
        <v>46194</v>
      </c>
      <c r="C36" s="15">
        <f>Results!C35</f>
        <v>0.04166666667</v>
      </c>
      <c r="D36" t="str">
        <f>Results!E35</f>
        <v>Ecuador</v>
      </c>
      <c r="G36" t="str">
        <f>Results!H35</f>
        <v>Curaçao</v>
      </c>
      <c r="H36">
        <f t="shared" si="1"/>
        <v>0</v>
      </c>
      <c r="I36">
        <f>if(Results!I35="-",0,IF(OR(AND(H36&gt;0,Results!J35&gt;0),AND(H36&lt;0,Results!J35&lt;0),AND(H36=0,Results!J35=0)),1,0))</f>
        <v>0</v>
      </c>
      <c r="J36">
        <f>IF(K36="-",0,if(K36=Results!I35,3,0))</f>
        <v>0</v>
      </c>
      <c r="K36" t="str">
        <f t="shared" si="2"/>
        <v>-</v>
      </c>
      <c r="L36">
        <f t="shared" si="3"/>
        <v>0</v>
      </c>
    </row>
    <row r="37">
      <c r="A37">
        <f>Results!A36</f>
        <v>1</v>
      </c>
      <c r="B37" s="14">
        <f>Results!B36</f>
        <v>46194</v>
      </c>
      <c r="C37" s="15">
        <f>Results!C36</f>
        <v>0.2083333333</v>
      </c>
      <c r="D37" t="str">
        <f>Results!E36</f>
        <v>Tunisia</v>
      </c>
      <c r="G37" t="str">
        <f>Results!H36</f>
        <v>Japan</v>
      </c>
      <c r="H37">
        <f t="shared" si="1"/>
        <v>0</v>
      </c>
      <c r="I37">
        <f>if(Results!I36="-",0,IF(OR(AND(H37&gt;0,Results!J36&gt;0),AND(H37&lt;0,Results!J36&lt;0),AND(H37=0,Results!J36=0)),1,0))</f>
        <v>0</v>
      </c>
      <c r="J37">
        <f>IF(K37="-",0,if(K37=Results!I36,3,0))</f>
        <v>0</v>
      </c>
      <c r="K37" t="str">
        <f t="shared" si="2"/>
        <v>-</v>
      </c>
      <c r="L37">
        <f t="shared" si="3"/>
        <v>0</v>
      </c>
    </row>
    <row r="38">
      <c r="A38">
        <f>Results!A37</f>
        <v>1</v>
      </c>
      <c r="B38" s="14">
        <f>Results!B37</f>
        <v>46194</v>
      </c>
      <c r="C38" s="15">
        <f>Results!C37</f>
        <v>0.7083333333</v>
      </c>
      <c r="D38" t="str">
        <f>Results!E37</f>
        <v>Spain</v>
      </c>
      <c r="G38" t="str">
        <f>Results!H37</f>
        <v>Saudi Arabia</v>
      </c>
      <c r="H38">
        <f t="shared" si="1"/>
        <v>0</v>
      </c>
      <c r="I38">
        <f>if(Results!I37="-",0,IF(OR(AND(H38&gt;0,Results!J37&gt;0),AND(H38&lt;0,Results!J37&lt;0),AND(H38=0,Results!J37=0)),1,0))</f>
        <v>0</v>
      </c>
      <c r="J38">
        <f>IF(K38="-",0,if(K38=Results!I37,3,0))</f>
        <v>0</v>
      </c>
      <c r="K38" t="str">
        <f t="shared" si="2"/>
        <v>-</v>
      </c>
      <c r="L38">
        <f t="shared" si="3"/>
        <v>0</v>
      </c>
    </row>
    <row r="39">
      <c r="A39">
        <f>Results!A38</f>
        <v>1</v>
      </c>
      <c r="B39" s="14">
        <f>Results!B38</f>
        <v>46194</v>
      </c>
      <c r="C39" s="15">
        <f>Results!C38</f>
        <v>0.8333333333</v>
      </c>
      <c r="D39" t="str">
        <f>Results!E38</f>
        <v>Belgium</v>
      </c>
      <c r="G39" t="str">
        <f>Results!H38</f>
        <v>Iran</v>
      </c>
      <c r="H39">
        <f t="shared" si="1"/>
        <v>0</v>
      </c>
      <c r="I39">
        <f>if(Results!I38="-",0,IF(OR(AND(H39&gt;0,Results!J38&gt;0),AND(H39&lt;0,Results!J38&lt;0),AND(H39=0,Results!J38=0)),1,0))</f>
        <v>0</v>
      </c>
      <c r="J39">
        <f>IF(K39="-",0,if(K39=Results!I38,3,0))</f>
        <v>0</v>
      </c>
      <c r="K39" t="str">
        <f t="shared" si="2"/>
        <v>-</v>
      </c>
      <c r="L39">
        <f t="shared" si="3"/>
        <v>0</v>
      </c>
    </row>
    <row r="40">
      <c r="A40">
        <f>Results!A39</f>
        <v>1</v>
      </c>
      <c r="B40" s="14">
        <f>Results!B39</f>
        <v>46194</v>
      </c>
      <c r="C40" s="15">
        <f>Results!C39</f>
        <v>0.9583333333</v>
      </c>
      <c r="D40" t="str">
        <f>Results!E39</f>
        <v>Uruguay</v>
      </c>
      <c r="G40" t="str">
        <f>Results!H39</f>
        <v>Cape Verde</v>
      </c>
      <c r="H40">
        <f t="shared" si="1"/>
        <v>0</v>
      </c>
      <c r="I40">
        <f>if(Results!I39="-",0,IF(OR(AND(H40&gt;0,Results!J39&gt;0),AND(H40&lt;0,Results!J39&lt;0),AND(H40=0,Results!J39=0)),1,0))</f>
        <v>0</v>
      </c>
      <c r="J40">
        <f>IF(K40="-",0,if(K40=Results!I39,3,0))</f>
        <v>0</v>
      </c>
      <c r="K40" t="str">
        <f t="shared" si="2"/>
        <v>-</v>
      </c>
      <c r="L40">
        <f t="shared" si="3"/>
        <v>0</v>
      </c>
    </row>
    <row r="41">
      <c r="A41">
        <f>Results!A40</f>
        <v>2</v>
      </c>
      <c r="B41" s="14">
        <f>Results!B40</f>
        <v>46195</v>
      </c>
      <c r="C41" s="15">
        <f>Results!C40</f>
        <v>0.08333333333</v>
      </c>
      <c r="D41" t="str">
        <f>Results!E40</f>
        <v>New Zealand</v>
      </c>
      <c r="G41" t="str">
        <f>Results!H40</f>
        <v>Egypt</v>
      </c>
      <c r="H41">
        <f t="shared" si="1"/>
        <v>0</v>
      </c>
      <c r="I41">
        <f>if(Results!I40="-",0,IF(OR(AND(H41&gt;0,Results!J40&gt;0),AND(H41&lt;0,Results!J40&lt;0),AND(H41=0,Results!J40=0)),1,0))</f>
        <v>0</v>
      </c>
      <c r="J41">
        <f>IF(K41="-",0,if(K41=Results!I40,3,0))</f>
        <v>0</v>
      </c>
      <c r="K41" t="str">
        <f t="shared" si="2"/>
        <v>-</v>
      </c>
      <c r="L41">
        <f t="shared" si="3"/>
        <v>0</v>
      </c>
    </row>
    <row r="42">
      <c r="A42">
        <f>Results!A41</f>
        <v>2</v>
      </c>
      <c r="B42" s="14">
        <f>Results!B41</f>
        <v>46195</v>
      </c>
      <c r="C42" s="15">
        <f>Results!C41</f>
        <v>0.7916666667</v>
      </c>
      <c r="D42" t="str">
        <f>Results!E41</f>
        <v>Argentina</v>
      </c>
      <c r="G42" t="str">
        <f>Results!H41</f>
        <v>Austria</v>
      </c>
      <c r="H42">
        <f t="shared" si="1"/>
        <v>0</v>
      </c>
      <c r="I42">
        <f>if(Results!I41="-",0,IF(OR(AND(H42&gt;0,Results!J41&gt;0),AND(H42&lt;0,Results!J41&lt;0),AND(H42=0,Results!J41=0)),1,0))</f>
        <v>0</v>
      </c>
      <c r="J42">
        <f>IF(K42="-",0,if(K42=Results!I41,3,0))</f>
        <v>0</v>
      </c>
      <c r="K42" t="str">
        <f t="shared" si="2"/>
        <v>-</v>
      </c>
      <c r="L42">
        <f t="shared" si="3"/>
        <v>0</v>
      </c>
    </row>
    <row r="43">
      <c r="A43">
        <f>Results!A42</f>
        <v>2</v>
      </c>
      <c r="B43" s="14">
        <f>Results!B42</f>
        <v>46195</v>
      </c>
      <c r="C43" s="15">
        <f>Results!C42</f>
        <v>0.9583333333</v>
      </c>
      <c r="D43" t="str">
        <f>Results!E42</f>
        <v>France</v>
      </c>
      <c r="G43" t="str">
        <f>Results!H42</f>
        <v>Iraq</v>
      </c>
      <c r="H43">
        <f t="shared" si="1"/>
        <v>0</v>
      </c>
      <c r="I43">
        <f>if(Results!I42="-",0,IF(OR(AND(H43&gt;0,Results!J42&gt;0),AND(H43&lt;0,Results!J42&lt;0),AND(H43=0,Results!J42=0)),1,0))</f>
        <v>0</v>
      </c>
      <c r="J43">
        <f>IF(K43="-",0,if(K43=Results!I42,3,0))</f>
        <v>0</v>
      </c>
      <c r="K43" t="str">
        <f t="shared" si="2"/>
        <v>-</v>
      </c>
      <c r="L43">
        <f t="shared" si="3"/>
        <v>0</v>
      </c>
    </row>
    <row r="44">
      <c r="A44">
        <f>Results!A43</f>
        <v>3</v>
      </c>
      <c r="B44" s="14">
        <f>Results!B43</f>
        <v>46196</v>
      </c>
      <c r="C44" s="15">
        <f>Results!C43</f>
        <v>0.08333333333</v>
      </c>
      <c r="D44" t="str">
        <f>Results!E43</f>
        <v>Norway</v>
      </c>
      <c r="G44" t="str">
        <f>Results!H43</f>
        <v>Senegal</v>
      </c>
      <c r="H44">
        <f t="shared" si="1"/>
        <v>0</v>
      </c>
      <c r="I44">
        <f>if(Results!I43="-",0,IF(OR(AND(H44&gt;0,Results!J43&gt;0),AND(H44&lt;0,Results!J43&lt;0),AND(H44=0,Results!J43=0)),1,0))</f>
        <v>0</v>
      </c>
      <c r="J44">
        <f>IF(K44="-",0,if(K44=Results!I43,3,0))</f>
        <v>0</v>
      </c>
      <c r="K44" t="str">
        <f t="shared" si="2"/>
        <v>-</v>
      </c>
      <c r="L44">
        <f t="shared" si="3"/>
        <v>0</v>
      </c>
    </row>
    <row r="45">
      <c r="A45">
        <f>Results!A44</f>
        <v>3</v>
      </c>
      <c r="B45" s="14">
        <f>Results!B44</f>
        <v>46196</v>
      </c>
      <c r="C45" s="15">
        <f>Results!C44</f>
        <v>0.2083333333</v>
      </c>
      <c r="D45" t="str">
        <f>Results!E44</f>
        <v>Jordan</v>
      </c>
      <c r="G45" t="str">
        <f>Results!H44</f>
        <v>Algeria</v>
      </c>
      <c r="H45">
        <f t="shared" si="1"/>
        <v>0</v>
      </c>
      <c r="I45">
        <f>if(Results!I44="-",0,IF(OR(AND(H45&gt;0,Results!J44&gt;0),AND(H45&lt;0,Results!J44&lt;0),AND(H45=0,Results!J44=0)),1,0))</f>
        <v>0</v>
      </c>
      <c r="J45">
        <f>IF(K45="-",0,if(K45=Results!I44,3,0))</f>
        <v>0</v>
      </c>
      <c r="K45" t="str">
        <f t="shared" si="2"/>
        <v>-</v>
      </c>
      <c r="L45">
        <f t="shared" si="3"/>
        <v>0</v>
      </c>
    </row>
    <row r="46">
      <c r="A46">
        <f>Results!A45</f>
        <v>3</v>
      </c>
      <c r="B46" s="14">
        <f>Results!B45</f>
        <v>46196</v>
      </c>
      <c r="C46" s="15">
        <f>Results!C45</f>
        <v>0.7916666667</v>
      </c>
      <c r="D46" t="str">
        <f>Results!E45</f>
        <v>Portugal</v>
      </c>
      <c r="G46" t="str">
        <f>Results!H45</f>
        <v>Uzbekistan</v>
      </c>
      <c r="H46">
        <f t="shared" si="1"/>
        <v>0</v>
      </c>
      <c r="I46">
        <f>if(Results!I45="-",0,IF(OR(AND(H46&gt;0,Results!J45&gt;0),AND(H46&lt;0,Results!J45&lt;0),AND(H46=0,Results!J45=0)),1,0))</f>
        <v>0</v>
      </c>
      <c r="J46">
        <f>IF(K46="-",0,if(K46=Results!I45,3,0))</f>
        <v>0</v>
      </c>
      <c r="K46" t="str">
        <f t="shared" si="2"/>
        <v>-</v>
      </c>
      <c r="L46">
        <f t="shared" si="3"/>
        <v>0</v>
      </c>
    </row>
    <row r="47">
      <c r="A47">
        <f>Results!A46</f>
        <v>3</v>
      </c>
      <c r="B47" s="14">
        <f>Results!B46</f>
        <v>46196</v>
      </c>
      <c r="C47" s="15">
        <f>Results!C46</f>
        <v>0.9166666667</v>
      </c>
      <c r="D47" t="str">
        <f>Results!E46</f>
        <v>England</v>
      </c>
      <c r="G47" t="str">
        <f>Results!H46</f>
        <v>Ghana</v>
      </c>
      <c r="H47">
        <f t="shared" si="1"/>
        <v>0</v>
      </c>
      <c r="I47">
        <f>if(Results!I46="-",0,IF(OR(AND(H47&gt;0,Results!J46&gt;0),AND(H47&lt;0,Results!J46&lt;0),AND(H47=0,Results!J46=0)),1,0))</f>
        <v>0</v>
      </c>
      <c r="J47">
        <f>IF(K47="-",0,if(K47=Results!I46,3,0))</f>
        <v>0</v>
      </c>
      <c r="K47" t="str">
        <f t="shared" si="2"/>
        <v>-</v>
      </c>
      <c r="L47">
        <f t="shared" si="3"/>
        <v>0</v>
      </c>
    </row>
    <row r="48">
      <c r="A48">
        <f>Results!A47</f>
        <v>4</v>
      </c>
      <c r="B48" s="14">
        <f>Results!B47</f>
        <v>46197</v>
      </c>
      <c r="C48" s="15">
        <f>Results!C47</f>
        <v>0.04166666667</v>
      </c>
      <c r="D48" t="str">
        <f>Results!E47</f>
        <v>Panama</v>
      </c>
      <c r="G48" t="str">
        <f>Results!H47</f>
        <v>Croatia</v>
      </c>
      <c r="H48">
        <f t="shared" si="1"/>
        <v>0</v>
      </c>
      <c r="I48">
        <f>if(Results!I47="-",0,IF(OR(AND(H48&gt;0,Results!J47&gt;0),AND(H48&lt;0,Results!J47&lt;0),AND(H48=0,Results!J47=0)),1,0))</f>
        <v>0</v>
      </c>
      <c r="J48">
        <f>IF(K48="-",0,if(K48=Results!I47,3,0))</f>
        <v>0</v>
      </c>
      <c r="K48" t="str">
        <f t="shared" si="2"/>
        <v>-</v>
      </c>
      <c r="L48">
        <f t="shared" si="3"/>
        <v>0</v>
      </c>
    </row>
    <row r="49">
      <c r="A49">
        <f>Results!A48</f>
        <v>4</v>
      </c>
      <c r="B49" s="14">
        <f>Results!B48</f>
        <v>46197</v>
      </c>
      <c r="C49" s="15">
        <f>Results!C48</f>
        <v>0.1666666667</v>
      </c>
      <c r="D49" t="str">
        <f>Results!E48</f>
        <v>Colombia</v>
      </c>
      <c r="G49" t="str">
        <f>Results!H48</f>
        <v>DR Congo</v>
      </c>
      <c r="H49">
        <f t="shared" si="1"/>
        <v>0</v>
      </c>
      <c r="I49">
        <f>if(Results!I48="-",0,IF(OR(AND(H49&gt;0,Results!J48&gt;0),AND(H49&lt;0,Results!J48&lt;0),AND(H49=0,Results!J48=0)),1,0))</f>
        <v>0</v>
      </c>
      <c r="J49">
        <f>IF(K49="-",0,if(K49=Results!I48,3,0))</f>
        <v>0</v>
      </c>
      <c r="K49" t="str">
        <f t="shared" si="2"/>
        <v>-</v>
      </c>
      <c r="L49">
        <f t="shared" si="3"/>
        <v>0</v>
      </c>
    </row>
    <row r="50">
      <c r="A50">
        <f>Results!A49</f>
        <v>4</v>
      </c>
      <c r="B50" s="14">
        <f>Results!B49</f>
        <v>46197</v>
      </c>
      <c r="C50" s="15">
        <f>Results!C49</f>
        <v>0.75</v>
      </c>
      <c r="D50" t="str">
        <f>Results!E49</f>
        <v>Morocco</v>
      </c>
      <c r="G50" t="str">
        <f>Results!H49</f>
        <v>Haiti</v>
      </c>
      <c r="H50">
        <f t="shared" si="1"/>
        <v>0</v>
      </c>
      <c r="I50">
        <f>if(Results!I49="-",0,IF(OR(AND(H50&gt;0,Results!J49&gt;0),AND(H50&lt;0,Results!J49&lt;0),AND(H50=0,Results!J49=0)),1,0))</f>
        <v>0</v>
      </c>
      <c r="J50">
        <f>IF(K50="-",0,if(K50=Results!I49,3,0))</f>
        <v>0</v>
      </c>
      <c r="K50" t="str">
        <f t="shared" si="2"/>
        <v>-</v>
      </c>
      <c r="L50">
        <f t="shared" si="3"/>
        <v>0</v>
      </c>
    </row>
    <row r="51">
      <c r="A51">
        <f>Results!A50</f>
        <v>4</v>
      </c>
      <c r="B51" s="14">
        <f>Results!B50</f>
        <v>46197</v>
      </c>
      <c r="C51" s="15">
        <f>Results!C50</f>
        <v>0.75</v>
      </c>
      <c r="D51" t="str">
        <f>Results!E50</f>
        <v>Scotland</v>
      </c>
      <c r="G51" t="str">
        <f>Results!H50</f>
        <v>Brazil</v>
      </c>
      <c r="H51">
        <f t="shared" si="1"/>
        <v>0</v>
      </c>
      <c r="I51">
        <f>if(Results!I50="-",0,IF(OR(AND(H51&gt;0,Results!J50&gt;0),AND(H51&lt;0,Results!J50&lt;0),AND(H51=0,Results!J50=0)),1,0))</f>
        <v>0</v>
      </c>
      <c r="J51">
        <f>IF(K51="-",0,if(K51=Results!I50,3,0))</f>
        <v>0</v>
      </c>
      <c r="K51" t="str">
        <f t="shared" si="2"/>
        <v>-</v>
      </c>
      <c r="L51">
        <f t="shared" si="3"/>
        <v>0</v>
      </c>
    </row>
    <row r="52">
      <c r="A52">
        <f>Results!A51</f>
        <v>4</v>
      </c>
      <c r="B52" s="14">
        <f>Results!B51</f>
        <v>46197</v>
      </c>
      <c r="C52" s="15">
        <f>Results!C51</f>
        <v>0.875</v>
      </c>
      <c r="D52" t="str">
        <f>Results!E51</f>
        <v>Canada</v>
      </c>
      <c r="G52" t="str">
        <f>Results!H51</f>
        <v>Switzerland</v>
      </c>
      <c r="H52">
        <f t="shared" si="1"/>
        <v>0</v>
      </c>
      <c r="I52">
        <f>if(Results!I51="-",0,IF(OR(AND(H52&gt;0,Results!J51&gt;0),AND(H52&lt;0,Results!J51&lt;0),AND(H52=0,Results!J51=0)),1,0))</f>
        <v>0</v>
      </c>
      <c r="J52">
        <f>IF(K52="-",0,if(K52=Results!I51,3,0))</f>
        <v>0</v>
      </c>
      <c r="K52" t="str">
        <f t="shared" si="2"/>
        <v>-</v>
      </c>
      <c r="L52">
        <f t="shared" si="3"/>
        <v>0</v>
      </c>
    </row>
    <row r="53">
      <c r="A53">
        <f>Results!A52</f>
        <v>4</v>
      </c>
      <c r="B53" s="14">
        <f>Results!B52</f>
        <v>46197</v>
      </c>
      <c r="C53" s="15">
        <f>Results!C52</f>
        <v>0.875</v>
      </c>
      <c r="D53" t="str">
        <f>Results!E52</f>
        <v>Bosnia and Herzegovina</v>
      </c>
      <c r="G53" t="str">
        <f>Results!H52</f>
        <v>Qatar</v>
      </c>
      <c r="H53">
        <f t="shared" si="1"/>
        <v>0</v>
      </c>
      <c r="I53">
        <f>if(Results!I52="-",0,IF(OR(AND(H53&gt;0,Results!J52&gt;0),AND(H53&lt;0,Results!J52&lt;0),AND(H53=0,Results!J52=0)),1,0))</f>
        <v>0</v>
      </c>
      <c r="J53">
        <f>IF(K53="-",0,if(K53=Results!I52,3,0))</f>
        <v>0</v>
      </c>
      <c r="K53" t="str">
        <f t="shared" si="2"/>
        <v>-</v>
      </c>
      <c r="L53">
        <f t="shared" si="3"/>
        <v>0</v>
      </c>
    </row>
    <row r="54">
      <c r="A54">
        <f>Results!A53</f>
        <v>5</v>
      </c>
      <c r="B54" s="14">
        <f>Results!B53</f>
        <v>46198</v>
      </c>
      <c r="C54" s="15">
        <f>Results!C53</f>
        <v>0.08333333333</v>
      </c>
      <c r="D54" t="str">
        <f>Results!E53</f>
        <v>Mexico</v>
      </c>
      <c r="G54" t="str">
        <f>Results!H53</f>
        <v>Czechia</v>
      </c>
      <c r="H54">
        <f t="shared" si="1"/>
        <v>0</v>
      </c>
      <c r="I54">
        <f>if(Results!I53="-",0,IF(OR(AND(H54&gt;0,Results!J53&gt;0),AND(H54&lt;0,Results!J53&lt;0),AND(H54=0,Results!J53=0)),1,0))</f>
        <v>0</v>
      </c>
      <c r="J54">
        <f>IF(K54="-",0,if(K54=Results!I53,3,0))</f>
        <v>0</v>
      </c>
      <c r="K54" t="str">
        <f t="shared" si="2"/>
        <v>-</v>
      </c>
      <c r="L54">
        <f t="shared" si="3"/>
        <v>0</v>
      </c>
    </row>
    <row r="55">
      <c r="A55">
        <f>Results!A54</f>
        <v>5</v>
      </c>
      <c r="B55" s="14">
        <f>Results!B54</f>
        <v>46198</v>
      </c>
      <c r="C55" s="15">
        <f>Results!C54</f>
        <v>0.08333333333</v>
      </c>
      <c r="D55" t="str">
        <f>Results!E54</f>
        <v>South Korea</v>
      </c>
      <c r="G55" t="str">
        <f>Results!H54</f>
        <v>South Africa</v>
      </c>
      <c r="H55">
        <f t="shared" si="1"/>
        <v>0</v>
      </c>
      <c r="I55">
        <f>if(Results!I54="-",0,IF(OR(AND(H55&gt;0,Results!J54&gt;0),AND(H55&lt;0,Results!J54&lt;0),AND(H55=0,Results!J54=0)),1,0))</f>
        <v>0</v>
      </c>
      <c r="J55">
        <f>IF(K55="-",0,if(K55=Results!I54,3,0))</f>
        <v>0</v>
      </c>
      <c r="K55" t="str">
        <f t="shared" si="2"/>
        <v>-</v>
      </c>
      <c r="L55">
        <f t="shared" si="3"/>
        <v>0</v>
      </c>
    </row>
    <row r="56">
      <c r="A56">
        <f>Results!A55</f>
        <v>5</v>
      </c>
      <c r="B56" s="14">
        <f>Results!B55</f>
        <v>46198</v>
      </c>
      <c r="C56" s="15">
        <f>Results!C55</f>
        <v>0.75</v>
      </c>
      <c r="D56" t="str">
        <f>Results!E55</f>
        <v>Ecuador</v>
      </c>
      <c r="G56" t="str">
        <f>Results!H55</f>
        <v>Germany</v>
      </c>
      <c r="H56">
        <f t="shared" si="1"/>
        <v>0</v>
      </c>
      <c r="I56">
        <f>if(Results!I55="-",0,IF(OR(AND(H56&gt;0,Results!J55&gt;0),AND(H56&lt;0,Results!J55&lt;0),AND(H56=0,Results!J55=0)),1,0))</f>
        <v>0</v>
      </c>
      <c r="J56">
        <f>IF(K56="-",0,if(K56=Results!I55,3,0))</f>
        <v>0</v>
      </c>
      <c r="K56" t="str">
        <f t="shared" si="2"/>
        <v>-</v>
      </c>
      <c r="L56">
        <f t="shared" si="3"/>
        <v>0</v>
      </c>
    </row>
    <row r="57">
      <c r="A57">
        <f>Results!A56</f>
        <v>5</v>
      </c>
      <c r="B57" s="14">
        <f>Results!B56</f>
        <v>46198</v>
      </c>
      <c r="C57" s="15">
        <f>Results!C56</f>
        <v>0.75</v>
      </c>
      <c r="D57" t="str">
        <f>Results!E56</f>
        <v>Curaçao</v>
      </c>
      <c r="G57" t="str">
        <f>Results!H56</f>
        <v>Ivory Coast</v>
      </c>
      <c r="H57">
        <f t="shared" si="1"/>
        <v>0</v>
      </c>
      <c r="I57">
        <f>if(Results!I56="-",0,IF(OR(AND(H57&gt;0,Results!J56&gt;0),AND(H57&lt;0,Results!J56&lt;0),AND(H57=0,Results!J56=0)),1,0))</f>
        <v>0</v>
      </c>
      <c r="J57">
        <f>IF(K57="-",0,if(K57=Results!I56,3,0))</f>
        <v>0</v>
      </c>
      <c r="K57" t="str">
        <f t="shared" si="2"/>
        <v>-</v>
      </c>
      <c r="L57">
        <f t="shared" si="3"/>
        <v>0</v>
      </c>
    </row>
    <row r="58">
      <c r="A58">
        <f>Results!A57</f>
        <v>5</v>
      </c>
      <c r="B58" s="14">
        <f>Results!B57</f>
        <v>46198</v>
      </c>
      <c r="C58" s="15">
        <f>Results!C57</f>
        <v>0.875</v>
      </c>
      <c r="D58" t="str">
        <f>Results!E57</f>
        <v>Tunisia</v>
      </c>
      <c r="G58" t="str">
        <f>Results!H57</f>
        <v>Netherlands</v>
      </c>
      <c r="H58">
        <f t="shared" si="1"/>
        <v>0</v>
      </c>
      <c r="I58">
        <f>if(Results!I57="-",0,IF(OR(AND(H58&gt;0,Results!J57&gt;0),AND(H58&lt;0,Results!J57&lt;0),AND(H58=0,Results!J57=0)),1,0))</f>
        <v>0</v>
      </c>
      <c r="J58">
        <f>IF(K58="-",0,if(K58=Results!I57,3,0))</f>
        <v>0</v>
      </c>
      <c r="K58" t="str">
        <f t="shared" si="2"/>
        <v>-</v>
      </c>
      <c r="L58">
        <f t="shared" si="3"/>
        <v>0</v>
      </c>
    </row>
    <row r="59">
      <c r="A59">
        <f>Results!A58</f>
        <v>5</v>
      </c>
      <c r="B59" s="14">
        <f>Results!B58</f>
        <v>46198</v>
      </c>
      <c r="C59" s="15">
        <f>Results!C58</f>
        <v>0.875</v>
      </c>
      <c r="D59" t="str">
        <f>Results!E58</f>
        <v>Japan</v>
      </c>
      <c r="G59" t="str">
        <f>Results!H58</f>
        <v>Sweden</v>
      </c>
      <c r="H59">
        <f t="shared" si="1"/>
        <v>0</v>
      </c>
      <c r="I59">
        <f>if(Results!I58="-",0,IF(OR(AND(H59&gt;0,Results!J58&gt;0),AND(H59&lt;0,Results!J58&lt;0),AND(H59=0,Results!J58=0)),1,0))</f>
        <v>0</v>
      </c>
      <c r="J59">
        <f>IF(K59="-",0,if(K59=Results!I58,3,0))</f>
        <v>0</v>
      </c>
      <c r="K59" t="str">
        <f t="shared" si="2"/>
        <v>-</v>
      </c>
      <c r="L59">
        <f t="shared" si="3"/>
        <v>0</v>
      </c>
    </row>
    <row r="60">
      <c r="A60">
        <f>Results!A59</f>
        <v>6</v>
      </c>
      <c r="B60" s="14">
        <f>Results!B59</f>
        <v>46199</v>
      </c>
      <c r="C60" s="15">
        <f>Results!C59</f>
        <v>0.04166666667</v>
      </c>
      <c r="D60" t="str">
        <f>Results!E59</f>
        <v>USA</v>
      </c>
      <c r="G60" t="str">
        <f>Results!H59</f>
        <v>Türkiye</v>
      </c>
      <c r="H60">
        <f t="shared" si="1"/>
        <v>0</v>
      </c>
      <c r="I60">
        <f>if(Results!I59="-",0,IF(OR(AND(H60&gt;0,Results!J59&gt;0),AND(H60&lt;0,Results!J59&lt;0),AND(H60=0,Results!J59=0)),1,0))</f>
        <v>0</v>
      </c>
      <c r="J60">
        <f>IF(K60="-",0,if(K60=Results!I59,3,0))</f>
        <v>0</v>
      </c>
      <c r="K60" t="str">
        <f t="shared" si="2"/>
        <v>-</v>
      </c>
      <c r="L60">
        <f t="shared" si="3"/>
        <v>0</v>
      </c>
    </row>
    <row r="61">
      <c r="A61">
        <f>Results!A60</f>
        <v>6</v>
      </c>
      <c r="B61" s="14">
        <f>Results!B60</f>
        <v>46199</v>
      </c>
      <c r="C61" s="15">
        <f>Results!C60</f>
        <v>0.04166666667</v>
      </c>
      <c r="D61" t="str">
        <f>Results!E60</f>
        <v>Paraguay</v>
      </c>
      <c r="G61" t="str">
        <f>Results!H60</f>
        <v>Australia</v>
      </c>
      <c r="H61">
        <f t="shared" si="1"/>
        <v>0</v>
      </c>
      <c r="I61">
        <f>if(Results!I60="-",0,IF(OR(AND(H61&gt;0,Results!J60&gt;0),AND(H61&lt;0,Results!J60&lt;0),AND(H61=0,Results!J60=0)),1,0))</f>
        <v>0</v>
      </c>
      <c r="J61">
        <f>IF(K61="-",0,if(K61=Results!I60,3,0))</f>
        <v>0</v>
      </c>
      <c r="K61" t="str">
        <f t="shared" si="2"/>
        <v>-</v>
      </c>
      <c r="L61">
        <f t="shared" si="3"/>
        <v>0</v>
      </c>
    </row>
    <row r="62">
      <c r="A62">
        <f>Results!A61</f>
        <v>6</v>
      </c>
      <c r="B62" s="14">
        <f>Results!B61</f>
        <v>46199</v>
      </c>
      <c r="C62" s="15">
        <f>Results!C61</f>
        <v>0.75</v>
      </c>
      <c r="D62" t="str">
        <f>Results!E61</f>
        <v>Belgium</v>
      </c>
      <c r="G62" t="str">
        <f>Results!H61</f>
        <v>New Zealand</v>
      </c>
      <c r="H62">
        <f t="shared" si="1"/>
        <v>0</v>
      </c>
      <c r="I62">
        <f>if(Results!I61="-",0,IF(OR(AND(H62&gt;0,Results!J61&gt;0),AND(H62&lt;0,Results!J61&lt;0),AND(H62=0,Results!J61=0)),1,0))</f>
        <v>0</v>
      </c>
      <c r="J62">
        <f>IF(K62="-",0,if(K62=Results!I61,3,0))</f>
        <v>0</v>
      </c>
      <c r="K62" t="str">
        <f t="shared" si="2"/>
        <v>-</v>
      </c>
      <c r="L62">
        <f t="shared" si="3"/>
        <v>0</v>
      </c>
    </row>
    <row r="63">
      <c r="A63">
        <f>Results!A62</f>
        <v>6</v>
      </c>
      <c r="B63" s="14">
        <f>Results!B62</f>
        <v>46199</v>
      </c>
      <c r="C63" s="15">
        <f>Results!C62</f>
        <v>0.75</v>
      </c>
      <c r="D63" t="str">
        <f>Results!E62</f>
        <v>Egypt</v>
      </c>
      <c r="G63" t="str">
        <f>Results!H62</f>
        <v>Iran</v>
      </c>
      <c r="H63">
        <f t="shared" si="1"/>
        <v>0</v>
      </c>
      <c r="I63">
        <f>if(Results!I62="-",0,IF(OR(AND(H63&gt;0,Results!J62&gt;0),AND(H63&lt;0,Results!J62&lt;0),AND(H63=0,Results!J62=0)),1,0))</f>
        <v>0</v>
      </c>
      <c r="J63">
        <f>IF(K63="-",0,if(K63=Results!I62,3,0))</f>
        <v>0</v>
      </c>
      <c r="K63" t="str">
        <f t="shared" si="2"/>
        <v>-</v>
      </c>
      <c r="L63">
        <f t="shared" si="3"/>
        <v>0</v>
      </c>
    </row>
    <row r="64">
      <c r="A64">
        <f>Results!A63</f>
        <v>6</v>
      </c>
      <c r="B64" s="14">
        <f>Results!B63</f>
        <v>46199</v>
      </c>
      <c r="C64" s="15">
        <f>Results!C63</f>
        <v>0.875</v>
      </c>
      <c r="D64" t="str">
        <f>Results!E63</f>
        <v>Spain</v>
      </c>
      <c r="G64" t="str">
        <f>Results!H63</f>
        <v>Uruguay</v>
      </c>
      <c r="H64">
        <f t="shared" si="1"/>
        <v>0</v>
      </c>
      <c r="I64">
        <f>if(Results!I63="-",0,IF(OR(AND(H64&gt;0,Results!J63&gt;0),AND(H64&lt;0,Results!J63&lt;0),AND(H64=0,Results!J63=0)),1,0))</f>
        <v>0</v>
      </c>
      <c r="J64">
        <f>IF(K64="-",0,if(K64=Results!I63,3,0))</f>
        <v>0</v>
      </c>
      <c r="K64" t="str">
        <f t="shared" si="2"/>
        <v>-</v>
      </c>
      <c r="L64">
        <f t="shared" si="3"/>
        <v>0</v>
      </c>
    </row>
    <row r="65">
      <c r="A65">
        <f>Results!A64</f>
        <v>6</v>
      </c>
      <c r="B65" s="14">
        <f>Results!B64</f>
        <v>46199</v>
      </c>
      <c r="C65" s="15">
        <f>Results!C64</f>
        <v>0.875</v>
      </c>
      <c r="D65" t="str">
        <f>Results!E64</f>
        <v>Cape Verde</v>
      </c>
      <c r="G65" t="str">
        <f>Results!H64</f>
        <v>Saudi Arabia</v>
      </c>
      <c r="H65">
        <f t="shared" si="1"/>
        <v>0</v>
      </c>
      <c r="I65">
        <f>if(Results!I64="-",0,IF(OR(AND(H65&gt;0,Results!J64&gt;0),AND(H65&lt;0,Results!J64&lt;0),AND(H65=0,Results!J64=0)),1,0))</f>
        <v>0</v>
      </c>
      <c r="J65">
        <f>IF(K65="-",0,if(K65=Results!I64,3,0))</f>
        <v>0</v>
      </c>
      <c r="K65" t="str">
        <f t="shared" si="2"/>
        <v>-</v>
      </c>
      <c r="L65">
        <f t="shared" si="3"/>
        <v>0</v>
      </c>
    </row>
    <row r="66">
      <c r="A66">
        <f>Results!A65</f>
        <v>7</v>
      </c>
      <c r="B66" s="14">
        <f>Results!B65</f>
        <v>46200</v>
      </c>
      <c r="C66" s="15">
        <f>Results!C65</f>
        <v>0.04166666667</v>
      </c>
      <c r="D66" t="str">
        <f>Results!E65</f>
        <v>France</v>
      </c>
      <c r="G66" t="str">
        <f>Results!H65</f>
        <v>Norway</v>
      </c>
      <c r="H66">
        <f t="shared" si="1"/>
        <v>0</v>
      </c>
      <c r="I66">
        <f>if(Results!I65="-",0,IF(OR(AND(H66&gt;0,Results!J65&gt;0),AND(H66&lt;0,Results!J65&lt;0),AND(H66=0,Results!J65=0)),1,0))</f>
        <v>0</v>
      </c>
      <c r="J66">
        <f>IF(K66="-",0,if(K66=Results!I65,3,0))</f>
        <v>0</v>
      </c>
      <c r="K66" t="str">
        <f t="shared" si="2"/>
        <v>-</v>
      </c>
      <c r="L66">
        <f t="shared" si="3"/>
        <v>0</v>
      </c>
    </row>
    <row r="67">
      <c r="A67">
        <f>Results!A66</f>
        <v>7</v>
      </c>
      <c r="B67" s="14">
        <f>Results!B66</f>
        <v>46200</v>
      </c>
      <c r="C67" s="15">
        <f>Results!C66</f>
        <v>0.04166666667</v>
      </c>
      <c r="D67" t="str">
        <f>Results!E66</f>
        <v>Senegal</v>
      </c>
      <c r="G67" t="str">
        <f>Results!H66</f>
        <v>Iraq</v>
      </c>
      <c r="H67">
        <f t="shared" si="1"/>
        <v>0</v>
      </c>
      <c r="I67">
        <f>if(Results!I66="-",0,IF(OR(AND(H67&gt;0,Results!J66&gt;0),AND(H67&lt;0,Results!J66&lt;0),AND(H67=0,Results!J66=0)),1,0))</f>
        <v>0</v>
      </c>
      <c r="J67">
        <f>IF(K67="-",0,if(K67=Results!I66,3,0))</f>
        <v>0</v>
      </c>
      <c r="K67" t="str">
        <f t="shared" si="2"/>
        <v>-</v>
      </c>
      <c r="L67">
        <f t="shared" si="3"/>
        <v>0</v>
      </c>
    </row>
    <row r="68">
      <c r="A68">
        <f>Results!A67</f>
        <v>7</v>
      </c>
      <c r="B68" s="14">
        <f>Results!B67</f>
        <v>46200</v>
      </c>
      <c r="C68" s="15">
        <f>Results!C67</f>
        <v>0.75</v>
      </c>
      <c r="D68" t="str">
        <f>Results!E67</f>
        <v>Jordan</v>
      </c>
      <c r="G68" t="str">
        <f>Results!H67</f>
        <v>Argentina</v>
      </c>
      <c r="H68">
        <f t="shared" si="1"/>
        <v>0</v>
      </c>
      <c r="I68">
        <f>if(Results!I67="-",0,IF(OR(AND(H68&gt;0,Results!J67&gt;0),AND(H68&lt;0,Results!J67&lt;0),AND(H68=0,Results!J67=0)),1,0))</f>
        <v>0</v>
      </c>
      <c r="J68">
        <f>IF(K68="-",0,if(K68=Results!I67,3,0))</f>
        <v>0</v>
      </c>
      <c r="K68" t="str">
        <f t="shared" si="2"/>
        <v>-</v>
      </c>
      <c r="L68">
        <f t="shared" si="3"/>
        <v>0</v>
      </c>
    </row>
    <row r="69">
      <c r="A69">
        <f>Results!A68</f>
        <v>7</v>
      </c>
      <c r="B69" s="14">
        <f>Results!B68</f>
        <v>46200</v>
      </c>
      <c r="C69" s="15">
        <f>Results!C68</f>
        <v>0.75</v>
      </c>
      <c r="D69" t="str">
        <f>Results!E68</f>
        <v>Algeria</v>
      </c>
      <c r="G69" t="str">
        <f>Results!H68</f>
        <v>Austria</v>
      </c>
      <c r="H69">
        <f t="shared" si="1"/>
        <v>0</v>
      </c>
      <c r="I69">
        <f>if(Results!I68="-",0,IF(OR(AND(H69&gt;0,Results!J68&gt;0),AND(H69&lt;0,Results!J68&lt;0),AND(H69=0,Results!J68=0)),1,0))</f>
        <v>0</v>
      </c>
      <c r="J69">
        <f>IF(K69="-",0,if(K69=Results!I68,3,0))</f>
        <v>0</v>
      </c>
      <c r="K69" t="str">
        <f t="shared" si="2"/>
        <v>-</v>
      </c>
      <c r="L69">
        <f t="shared" si="3"/>
        <v>0</v>
      </c>
    </row>
    <row r="70">
      <c r="A70">
        <f>Results!A69</f>
        <v>7</v>
      </c>
      <c r="B70" s="14">
        <f>Results!B69</f>
        <v>46200</v>
      </c>
      <c r="C70" s="15">
        <f>Results!C69</f>
        <v>0.875</v>
      </c>
      <c r="D70" t="str">
        <f>Results!E69</f>
        <v>Colombia</v>
      </c>
      <c r="G70" t="str">
        <f>Results!H69</f>
        <v>Portugal</v>
      </c>
      <c r="H70">
        <f t="shared" si="1"/>
        <v>0</v>
      </c>
      <c r="I70">
        <f>if(Results!I69="-",0,IF(OR(AND(H70&gt;0,Results!J69&gt;0),AND(H70&lt;0,Results!J69&lt;0),AND(H70=0,Results!J69=0)),1,0))</f>
        <v>0</v>
      </c>
      <c r="J70">
        <f>IF(K70="-",0,if(K70=Results!I69,3,0))</f>
        <v>0</v>
      </c>
      <c r="K70" t="str">
        <f t="shared" si="2"/>
        <v>-</v>
      </c>
      <c r="L70">
        <f t="shared" si="3"/>
        <v>0</v>
      </c>
    </row>
    <row r="71">
      <c r="A71">
        <f>Results!A70</f>
        <v>7</v>
      </c>
      <c r="B71" s="14">
        <f>Results!B70</f>
        <v>46200</v>
      </c>
      <c r="C71" s="15">
        <f>Results!C70</f>
        <v>0.875</v>
      </c>
      <c r="D71" t="str">
        <f>Results!E70</f>
        <v>Congo DR</v>
      </c>
      <c r="G71" t="str">
        <f>Results!H70</f>
        <v>Uzbekistan</v>
      </c>
      <c r="H71">
        <f t="shared" si="1"/>
        <v>0</v>
      </c>
      <c r="I71">
        <f>if(Results!I70="-",0,IF(OR(AND(H71&gt;0,Results!J70&gt;0),AND(H71&lt;0,Results!J70&lt;0),AND(H71=0,Results!J70=0)),1,0))</f>
        <v>0</v>
      </c>
      <c r="J71">
        <f>IF(K71="-",0,if(K71=Results!I70,3,0))</f>
        <v>0</v>
      </c>
      <c r="K71" t="str">
        <f t="shared" si="2"/>
        <v>-</v>
      </c>
      <c r="L71">
        <f t="shared" si="3"/>
        <v>0</v>
      </c>
    </row>
    <row r="72">
      <c r="A72">
        <f>Results!A71</f>
        <v>1</v>
      </c>
      <c r="B72" s="14">
        <f>Results!B71</f>
        <v>46201</v>
      </c>
      <c r="C72" s="15">
        <f>Results!C71</f>
        <v>0.04166666667</v>
      </c>
      <c r="D72" t="str">
        <f>Results!E71</f>
        <v>Panama</v>
      </c>
      <c r="G72" t="str">
        <f>Results!H71</f>
        <v>England</v>
      </c>
      <c r="H72">
        <f t="shared" si="1"/>
        <v>0</v>
      </c>
      <c r="I72">
        <f>if(Results!I71="-",0,IF(OR(AND(H72&gt;0,Results!J71&gt;0),AND(H72&lt;0,Results!J71&lt;0),AND(H72=0,Results!J71=0)),1,0))</f>
        <v>0</v>
      </c>
      <c r="J72">
        <f>IF(K72="-",0,if(K72=Results!I71,3,0))</f>
        <v>0</v>
      </c>
      <c r="K72" t="str">
        <f t="shared" si="2"/>
        <v>-</v>
      </c>
      <c r="L72">
        <f t="shared" si="3"/>
        <v>0</v>
      </c>
    </row>
    <row r="73">
      <c r="A73">
        <f>Results!A72</f>
        <v>1</v>
      </c>
      <c r="B73" s="14">
        <f>Results!B72</f>
        <v>46201</v>
      </c>
      <c r="C73" s="15">
        <f>Results!C72</f>
        <v>0.04166666667</v>
      </c>
      <c r="D73" t="str">
        <f>Results!E72</f>
        <v>Croatia</v>
      </c>
      <c r="G73" t="str">
        <f>Results!H72</f>
        <v>Ghana</v>
      </c>
      <c r="H73">
        <f t="shared" si="1"/>
        <v>0</v>
      </c>
      <c r="I73">
        <f>if(Results!I72="-",0,IF(OR(AND(H73&gt;0,Results!J72&gt;0),AND(H73&lt;0,Results!J72&lt;0),AND(H73=0,Results!J72=0)),1,0))</f>
        <v>0</v>
      </c>
      <c r="J73">
        <f>IF(K73="-",0,if(K73=Results!I72,3,0))</f>
        <v>0</v>
      </c>
      <c r="K73" t="str">
        <f t="shared" si="2"/>
        <v>-</v>
      </c>
      <c r="L73">
        <f t="shared" si="3"/>
        <v>0</v>
      </c>
    </row>
    <row r="74">
      <c r="A74">
        <f>Results!A73</f>
        <v>1</v>
      </c>
      <c r="B74" s="14">
        <f>Results!B73</f>
        <v>46201</v>
      </c>
      <c r="C74" s="15">
        <f>Results!C73</f>
        <v>0.75</v>
      </c>
      <c r="D74" t="str">
        <f>Results!E73</f>
        <v>Winner Group A</v>
      </c>
      <c r="G74" t="str">
        <f>Results!H73</f>
        <v>3rd Place Group C/D/E</v>
      </c>
      <c r="H74">
        <f t="shared" si="1"/>
        <v>0</v>
      </c>
      <c r="I74">
        <f>if(Results!I73="-",0,IF(OR(AND(H74&gt;0,Results!J73&gt;0),AND(H74&lt;0,Results!J73&lt;0),AND(H74=0,Results!J73=0)),1,0))</f>
        <v>0</v>
      </c>
      <c r="J74">
        <f>IF(K74="-",0,if(K74=Results!I73,3,0))</f>
        <v>0</v>
      </c>
      <c r="K74" t="str">
        <f t="shared" si="2"/>
        <v>-</v>
      </c>
      <c r="L74">
        <f t="shared" si="3"/>
        <v>0</v>
      </c>
    </row>
    <row r="75">
      <c r="A75">
        <f>Results!A74</f>
        <v>1</v>
      </c>
      <c r="B75" s="14">
        <f>Results!B74</f>
        <v>46201</v>
      </c>
      <c r="C75" s="15">
        <f>Results!C74</f>
        <v>0.8958333333</v>
      </c>
      <c r="D75" t="str">
        <f>Results!E74</f>
        <v>Runner-up Group A</v>
      </c>
      <c r="G75" t="str">
        <f>Results!H74</f>
        <v>Runner-up Group B</v>
      </c>
      <c r="H75">
        <f t="shared" si="1"/>
        <v>0</v>
      </c>
      <c r="I75">
        <f>if(Results!I74="-",0,IF(OR(AND(H75&gt;0,Results!J74&gt;0),AND(H75&lt;0,Results!J74&lt;0),AND(H75=0,Results!J74=0)),1,0))</f>
        <v>0</v>
      </c>
      <c r="J75">
        <f>IF(K75="-",0,if(K75=Results!I74,3,0))</f>
        <v>0</v>
      </c>
      <c r="K75" t="str">
        <f t="shared" si="2"/>
        <v>-</v>
      </c>
      <c r="L75">
        <f t="shared" si="3"/>
        <v>0</v>
      </c>
    </row>
    <row r="76">
      <c r="A76">
        <f>Results!A75</f>
        <v>2</v>
      </c>
      <c r="B76" s="14">
        <f>Results!B75</f>
        <v>46202</v>
      </c>
      <c r="C76" s="15">
        <f>Results!C75</f>
        <v>0.75</v>
      </c>
      <c r="D76" t="str">
        <f>Results!E75</f>
        <v>Winner Group C</v>
      </c>
      <c r="G76" t="str">
        <f>Results!H75</f>
        <v>Runner-up Group D</v>
      </c>
      <c r="H76">
        <f t="shared" si="1"/>
        <v>0</v>
      </c>
      <c r="I76">
        <f>if(Results!I75="-",0,IF(OR(AND(H76&gt;0,Results!J75&gt;0),AND(H76&lt;0,Results!J75&lt;0),AND(H76=0,Results!J75=0)),1,0))</f>
        <v>0</v>
      </c>
      <c r="J76">
        <f>IF(K76="-",0,if(K76=Results!I75,3,0))</f>
        <v>0</v>
      </c>
      <c r="K76" t="str">
        <f t="shared" si="2"/>
        <v>-</v>
      </c>
      <c r="L76">
        <f t="shared" si="3"/>
        <v>0</v>
      </c>
    </row>
    <row r="77">
      <c r="A77">
        <f>Results!A76</f>
        <v>2</v>
      </c>
      <c r="B77" s="14">
        <f>Results!B76</f>
        <v>46202</v>
      </c>
      <c r="C77" s="15">
        <f>Results!C76</f>
        <v>0.8958333333</v>
      </c>
      <c r="D77" t="str">
        <f>Results!E76</f>
        <v>Winner Group E</v>
      </c>
      <c r="G77" t="str">
        <f>Results!H76</f>
        <v>3rd Place Group A/B/C</v>
      </c>
      <c r="H77">
        <f t="shared" si="1"/>
        <v>0</v>
      </c>
      <c r="I77">
        <f>if(Results!I76="-",0,IF(OR(AND(H77&gt;0,Results!J76&gt;0),AND(H77&lt;0,Results!J76&lt;0),AND(H77=0,Results!J76=0)),1,0))</f>
        <v>0</v>
      </c>
      <c r="J77">
        <f>IF(K77="-",0,if(K77=Results!I76,3,0))</f>
        <v>0</v>
      </c>
      <c r="K77" t="str">
        <f t="shared" si="2"/>
        <v>-</v>
      </c>
      <c r="L77">
        <f t="shared" si="3"/>
        <v>0</v>
      </c>
    </row>
    <row r="78">
      <c r="A78">
        <f>Results!A77</f>
        <v>3</v>
      </c>
      <c r="B78" s="14">
        <f>Results!B77</f>
        <v>46203</v>
      </c>
      <c r="C78" s="15">
        <f>Results!C77</f>
        <v>0.75</v>
      </c>
      <c r="D78" t="str">
        <f>Results!E77</f>
        <v>Winner Group F</v>
      </c>
      <c r="G78" t="str">
        <f>Results!H77</f>
        <v>Runner-up Group C</v>
      </c>
      <c r="H78">
        <f t="shared" si="1"/>
        <v>0</v>
      </c>
      <c r="I78">
        <f>if(Results!I77="-",0,IF(OR(AND(H78&gt;0,Results!J77&gt;0),AND(H78&lt;0,Results!J77&lt;0),AND(H78=0,Results!J77=0)),1,0))</f>
        <v>0</v>
      </c>
      <c r="J78">
        <f>IF(K78="-",0,if(K78=Results!I77,3,0))</f>
        <v>0</v>
      </c>
      <c r="K78" t="str">
        <f t="shared" si="2"/>
        <v>-</v>
      </c>
      <c r="L78">
        <f t="shared" si="3"/>
        <v>0</v>
      </c>
    </row>
    <row r="79">
      <c r="A79">
        <f>Results!A78</f>
        <v>3</v>
      </c>
      <c r="B79" s="14">
        <f>Results!B78</f>
        <v>46203</v>
      </c>
      <c r="C79" s="15">
        <f>Results!C78</f>
        <v>0.9166666667</v>
      </c>
      <c r="D79" t="str">
        <f>Results!E78</f>
        <v>Winner Group B</v>
      </c>
      <c r="G79" t="str">
        <f>Results!H78</f>
        <v>3rd Place Group E/F/G</v>
      </c>
      <c r="H79">
        <f t="shared" si="1"/>
        <v>0</v>
      </c>
      <c r="I79">
        <f>if(Results!I78="-",0,IF(OR(AND(H79&gt;0,Results!J78&gt;0),AND(H79&lt;0,Results!J78&lt;0),AND(H79=0,Results!J78=0)),1,0))</f>
        <v>0</v>
      </c>
      <c r="J79">
        <f>IF(K79="-",0,if(K79=Results!I78,3,0))</f>
        <v>0</v>
      </c>
      <c r="K79" t="str">
        <f t="shared" si="2"/>
        <v>-</v>
      </c>
      <c r="L79">
        <f t="shared" si="3"/>
        <v>0</v>
      </c>
    </row>
    <row r="80">
      <c r="A80">
        <f>Results!A79</f>
        <v>4</v>
      </c>
      <c r="B80" s="16">
        <f>Results!B79</f>
        <v>46204</v>
      </c>
      <c r="C80" s="15">
        <f>Results!C79</f>
        <v>0.04166666667</v>
      </c>
      <c r="D80" t="str">
        <f>Results!E79</f>
        <v>Winner Group G</v>
      </c>
      <c r="G80" t="str">
        <f>Results!H79</f>
        <v>Runner-up Group H</v>
      </c>
      <c r="H80">
        <f t="shared" si="1"/>
        <v>0</v>
      </c>
      <c r="I80">
        <f>if(Results!I79="-",0,IF(OR(AND(H80&gt;0,Results!J79&gt;0),AND(H80&lt;0,Results!J79&lt;0),AND(H80=0,Results!J79=0)),1,0))</f>
        <v>0</v>
      </c>
      <c r="J80">
        <f>IF(K80="-",0,if(K80=Results!I79,3,0))</f>
        <v>0</v>
      </c>
      <c r="K80" t="str">
        <f t="shared" si="2"/>
        <v>-</v>
      </c>
      <c r="L80">
        <f t="shared" si="3"/>
        <v>0</v>
      </c>
    </row>
    <row r="81">
      <c r="A81">
        <f>Results!A80</f>
        <v>4</v>
      </c>
      <c r="B81" s="16">
        <f>Results!B80</f>
        <v>46204</v>
      </c>
      <c r="C81" s="15">
        <f>Results!C80</f>
        <v>0.75</v>
      </c>
      <c r="D81" t="str">
        <f>Results!E80</f>
        <v>Winner Group D</v>
      </c>
      <c r="G81" t="str">
        <f>Results!H80</f>
        <v>3rd Place Group I/J/K</v>
      </c>
      <c r="H81">
        <f t="shared" si="1"/>
        <v>0</v>
      </c>
      <c r="I81">
        <f>if(Results!I80="-",0,IF(OR(AND(H81&gt;0,Results!J80&gt;0),AND(H81&lt;0,Results!J80&lt;0),AND(H81=0,Results!J80=0)),1,0))</f>
        <v>0</v>
      </c>
      <c r="J81">
        <f>IF(K81="-",0,if(K81=Results!I80,3,0))</f>
        <v>0</v>
      </c>
      <c r="K81" t="str">
        <f t="shared" si="2"/>
        <v>-</v>
      </c>
      <c r="L81">
        <f t="shared" si="3"/>
        <v>0</v>
      </c>
    </row>
    <row r="82">
      <c r="A82">
        <f>Results!A81</f>
        <v>4</v>
      </c>
      <c r="B82" s="16">
        <f>Results!B81</f>
        <v>46204</v>
      </c>
      <c r="C82" s="15">
        <f>Results!C81</f>
        <v>0.875</v>
      </c>
      <c r="D82" t="str">
        <f>Results!E81</f>
        <v>Winner Group H</v>
      </c>
      <c r="G82" t="str">
        <f>Results!H81</f>
        <v>Runner-up Group G</v>
      </c>
      <c r="H82">
        <f t="shared" si="1"/>
        <v>0</v>
      </c>
      <c r="I82">
        <f>if(Results!I81="-",0,IF(OR(AND(H82&gt;0,Results!J81&gt;0),AND(H82&lt;0,Results!J81&lt;0),AND(H82=0,Results!J81=0)),1,0))</f>
        <v>0</v>
      </c>
      <c r="J82">
        <f>IF(K82="-",0,if(K82=Results!I81,3,0))</f>
        <v>0</v>
      </c>
      <c r="K82" t="str">
        <f t="shared" si="2"/>
        <v>-</v>
      </c>
      <c r="L82">
        <f t="shared" si="3"/>
        <v>0</v>
      </c>
    </row>
    <row r="83">
      <c r="A83">
        <f>Results!A82</f>
        <v>5</v>
      </c>
      <c r="B83" s="16">
        <f>Results!B82</f>
        <v>46205</v>
      </c>
      <c r="C83" s="15">
        <f>Results!C82</f>
        <v>0.04166666667</v>
      </c>
      <c r="D83" t="str">
        <f>Results!E82</f>
        <v>Winner Group I</v>
      </c>
      <c r="G83" t="str">
        <f>Results!H82</f>
        <v>3rd Place Group B/C/F</v>
      </c>
      <c r="H83">
        <f t="shared" si="1"/>
        <v>0</v>
      </c>
      <c r="I83">
        <f>if(Results!I82="-",0,IF(OR(AND(H83&gt;0,Results!J82&gt;0),AND(H83&lt;0,Results!J82&lt;0),AND(H83=0,Results!J82=0)),1,0))</f>
        <v>0</v>
      </c>
      <c r="J83">
        <f>IF(K83="-",0,if(K83=Results!I82,3,0))</f>
        <v>0</v>
      </c>
      <c r="K83" t="str">
        <f t="shared" si="2"/>
        <v>-</v>
      </c>
      <c r="L83">
        <f t="shared" si="3"/>
        <v>0</v>
      </c>
    </row>
    <row r="84">
      <c r="A84">
        <f>Results!A83</f>
        <v>5</v>
      </c>
      <c r="B84" s="16">
        <f>Results!B83</f>
        <v>46205</v>
      </c>
      <c r="C84" s="15">
        <f>Results!C83</f>
        <v>0.75</v>
      </c>
      <c r="D84" t="str">
        <f>Results!E83</f>
        <v>Winner Group J</v>
      </c>
      <c r="G84" t="str">
        <f>Results!H83</f>
        <v>Runner-up Group K</v>
      </c>
      <c r="H84">
        <f t="shared" si="1"/>
        <v>0</v>
      </c>
      <c r="I84">
        <f>if(Results!I83="-",0,IF(OR(AND(H84&gt;0,Results!J83&gt;0),AND(H84&lt;0,Results!J83&lt;0),AND(H84=0,Results!J83=0)),1,0))</f>
        <v>0</v>
      </c>
      <c r="J84">
        <f>IF(K84="-",0,if(K84=Results!I83,3,0))</f>
        <v>0</v>
      </c>
      <c r="K84" t="str">
        <f t="shared" si="2"/>
        <v>-</v>
      </c>
      <c r="L84">
        <f t="shared" si="3"/>
        <v>0</v>
      </c>
    </row>
    <row r="85">
      <c r="A85">
        <f>Results!A84</f>
        <v>5</v>
      </c>
      <c r="B85" s="16">
        <f>Results!B84</f>
        <v>46205</v>
      </c>
      <c r="C85" s="15">
        <f>Results!C84</f>
        <v>0.875</v>
      </c>
      <c r="D85" t="str">
        <f>Results!E84</f>
        <v>Winner Group K</v>
      </c>
      <c r="G85" t="str">
        <f>Results!H84</f>
        <v>Runner-up Group J</v>
      </c>
      <c r="H85">
        <f t="shared" si="1"/>
        <v>0</v>
      </c>
      <c r="I85">
        <f>if(Results!I84="-",0,IF(OR(AND(H85&gt;0,Results!J84&gt;0),AND(H85&lt;0,Results!J84&lt;0),AND(H85=0,Results!J84=0)),1,0))</f>
        <v>0</v>
      </c>
      <c r="J85">
        <f>IF(K85="-",0,if(K85=Results!I84,3,0))</f>
        <v>0</v>
      </c>
      <c r="K85" t="str">
        <f t="shared" si="2"/>
        <v>-</v>
      </c>
      <c r="L85">
        <f t="shared" si="3"/>
        <v>0</v>
      </c>
    </row>
    <row r="86">
      <c r="A86">
        <f>Results!A85</f>
        <v>6</v>
      </c>
      <c r="B86" s="16">
        <f>Results!B85</f>
        <v>46206</v>
      </c>
      <c r="C86" s="15">
        <f>Results!C85</f>
        <v>0.04166666667</v>
      </c>
      <c r="D86" t="str">
        <f>Results!E85</f>
        <v>Winner Group L</v>
      </c>
      <c r="G86" t="str">
        <f>Results!H85</f>
        <v>3rd Place Group A/D/H</v>
      </c>
      <c r="H86">
        <f t="shared" si="1"/>
        <v>0</v>
      </c>
      <c r="I86">
        <f>if(Results!I85="-",0,IF(OR(AND(H86&gt;0,Results!J85&gt;0),AND(H86&lt;0,Results!J85&lt;0),AND(H86=0,Results!J85=0)),1,0))</f>
        <v>0</v>
      </c>
      <c r="J86">
        <f>IF(K86="-",0,if(K86=Results!I85,3,0))</f>
        <v>0</v>
      </c>
      <c r="K86" t="str">
        <f t="shared" si="2"/>
        <v>-</v>
      </c>
      <c r="L86">
        <f t="shared" si="3"/>
        <v>0</v>
      </c>
    </row>
    <row r="87">
      <c r="A87">
        <f>Results!A86</f>
        <v>6</v>
      </c>
      <c r="B87" s="16">
        <f>Results!B86</f>
        <v>46206</v>
      </c>
      <c r="C87" s="15">
        <f>Results!C86</f>
        <v>0.75</v>
      </c>
      <c r="D87" t="str">
        <f>Results!E86</f>
        <v>Runner-up Group D</v>
      </c>
      <c r="G87" t="str">
        <f>Results!H86</f>
        <v>Runner-up Group E</v>
      </c>
      <c r="H87">
        <f t="shared" si="1"/>
        <v>0</v>
      </c>
      <c r="I87">
        <f>if(Results!I86="-",0,IF(OR(AND(H87&gt;0,Results!J86&gt;0),AND(H87&lt;0,Results!J86&lt;0),AND(H87=0,Results!J86=0)),1,0))</f>
        <v>0</v>
      </c>
      <c r="J87">
        <f>IF(K87="-",0,if(K87=Results!I86,3,0))</f>
        <v>0</v>
      </c>
      <c r="K87" t="str">
        <f t="shared" si="2"/>
        <v>-</v>
      </c>
      <c r="L87">
        <f t="shared" si="3"/>
        <v>0</v>
      </c>
    </row>
    <row r="88">
      <c r="A88">
        <f>Results!A87</f>
        <v>6</v>
      </c>
      <c r="B88" s="16">
        <f>Results!B87</f>
        <v>46206</v>
      </c>
      <c r="C88" s="15">
        <f>Results!C87</f>
        <v>0.875</v>
      </c>
      <c r="D88" t="str">
        <f>Results!E87</f>
        <v>Runner-up Group H</v>
      </c>
      <c r="G88" t="str">
        <f>Results!H87</f>
        <v>Runner-up Group I</v>
      </c>
      <c r="H88">
        <f t="shared" si="1"/>
        <v>0</v>
      </c>
      <c r="I88">
        <f>if(Results!I87="-",0,IF(OR(AND(H88&gt;0,Results!J87&gt;0),AND(H88&lt;0,Results!J87&lt;0),AND(H88=0,Results!J87=0)),1,0))</f>
        <v>0</v>
      </c>
      <c r="J88">
        <f>IF(K88="-",0,if(K88=Results!I87,3,0))</f>
        <v>0</v>
      </c>
      <c r="K88" t="str">
        <f t="shared" si="2"/>
        <v>-</v>
      </c>
      <c r="L88">
        <f t="shared" si="3"/>
        <v>0</v>
      </c>
    </row>
    <row r="89">
      <c r="A89">
        <f>Results!A88</f>
        <v>7</v>
      </c>
      <c r="B89" s="16">
        <f>Results!B88</f>
        <v>46207</v>
      </c>
      <c r="C89" s="15">
        <f>Results!C88</f>
        <v>0.04166666667</v>
      </c>
      <c r="D89" t="str">
        <f>Results!E88</f>
        <v>Runner-up Group L</v>
      </c>
      <c r="G89" t="str">
        <f>Results!H88</f>
        <v>Runner-up Group K</v>
      </c>
      <c r="H89">
        <f t="shared" si="1"/>
        <v>0</v>
      </c>
      <c r="I89">
        <f>if(Results!I88="-",0,IF(OR(AND(H89&gt;0,Results!J88&gt;0),AND(H89&lt;0,Results!J88&lt;0),AND(H89=0,Results!J88=0)),1,0))</f>
        <v>0</v>
      </c>
      <c r="J89">
        <f>IF(K89="-",0,if(K89=Results!I88,3,0))</f>
        <v>0</v>
      </c>
      <c r="K89" t="str">
        <f t="shared" si="2"/>
        <v>-</v>
      </c>
      <c r="L89">
        <f t="shared" si="3"/>
        <v>0</v>
      </c>
    </row>
    <row r="90">
      <c r="A90">
        <f>Results!A89</f>
        <v>7</v>
      </c>
      <c r="B90" s="16">
        <f>Results!B89</f>
        <v>46207</v>
      </c>
      <c r="C90" s="15">
        <f>Results!C89</f>
        <v>0.75</v>
      </c>
      <c r="D90" t="str">
        <f>Results!E89</f>
        <v>Winner Match 73</v>
      </c>
      <c r="G90" t="str">
        <f>Results!H89</f>
        <v>Winner Match 74</v>
      </c>
      <c r="H90">
        <f t="shared" si="1"/>
        <v>0</v>
      </c>
      <c r="I90">
        <f>if(Results!I89="-",0,IF(OR(AND(H90&gt;0,Results!J89&gt;0),AND(H90&lt;0,Results!J89&lt;0),AND(H90=0,Results!J89=0)),1,0))</f>
        <v>0</v>
      </c>
      <c r="J90">
        <f>IF(K90="-",0,if(K90=Results!I89,3,0))</f>
        <v>0</v>
      </c>
      <c r="K90" t="str">
        <f t="shared" si="2"/>
        <v>-</v>
      </c>
      <c r="L90">
        <f t="shared" si="3"/>
        <v>0</v>
      </c>
    </row>
    <row r="91">
      <c r="A91">
        <f>Results!A90</f>
        <v>7</v>
      </c>
      <c r="B91" s="16">
        <f>Results!B90</f>
        <v>46207</v>
      </c>
      <c r="C91" s="15">
        <f>Results!C90</f>
        <v>0.8958333333</v>
      </c>
      <c r="D91" t="str">
        <f>Results!E90</f>
        <v>Winner Match 75</v>
      </c>
      <c r="G91" t="str">
        <f>Results!H90</f>
        <v>Winner Match 76</v>
      </c>
      <c r="H91">
        <f t="shared" si="1"/>
        <v>0</v>
      </c>
      <c r="I91">
        <f>if(Results!I90="-",0,IF(OR(AND(H91&gt;0,Results!J90&gt;0),AND(H91&lt;0,Results!J90&lt;0),AND(H91=0,Results!J90=0)),1,0))</f>
        <v>0</v>
      </c>
      <c r="J91">
        <f>IF(K91="-",0,if(K91=Results!I90,3,0))</f>
        <v>0</v>
      </c>
      <c r="K91" t="str">
        <f t="shared" si="2"/>
        <v>-</v>
      </c>
      <c r="L91">
        <f t="shared" si="3"/>
        <v>0</v>
      </c>
    </row>
    <row r="92">
      <c r="A92">
        <f>Results!A91</f>
        <v>1</v>
      </c>
      <c r="B92" s="16">
        <f>Results!B91</f>
        <v>46208</v>
      </c>
      <c r="C92" s="15">
        <f>Results!C91</f>
        <v>0.75</v>
      </c>
      <c r="D92" t="str">
        <f>Results!E91</f>
        <v>Winner Match 77</v>
      </c>
      <c r="G92" t="str">
        <f>Results!H91</f>
        <v>Winner Match 78</v>
      </c>
      <c r="H92">
        <f t="shared" si="1"/>
        <v>0</v>
      </c>
      <c r="I92">
        <f>if(Results!I91="-",0,IF(OR(AND(H92&gt;0,Results!J91&gt;0),AND(H92&lt;0,Results!J91&lt;0),AND(H92=0,Results!J91=0)),1,0))</f>
        <v>0</v>
      </c>
      <c r="J92">
        <f>IF(K92="-",0,if(K92=Results!I91,3,0))</f>
        <v>0</v>
      </c>
      <c r="K92" t="str">
        <f t="shared" si="2"/>
        <v>-</v>
      </c>
      <c r="L92">
        <f t="shared" si="3"/>
        <v>0</v>
      </c>
    </row>
    <row r="93">
      <c r="A93">
        <f>Results!A92</f>
        <v>1</v>
      </c>
      <c r="B93" s="16">
        <f>Results!B92</f>
        <v>46208</v>
      </c>
      <c r="C93" s="15">
        <f>Results!C92</f>
        <v>0.8958333333</v>
      </c>
      <c r="D93" t="str">
        <f>Results!E92</f>
        <v>Winner Match 79</v>
      </c>
      <c r="G93" t="str">
        <f>Results!H92</f>
        <v>Winner Match 80</v>
      </c>
      <c r="H93">
        <f t="shared" si="1"/>
        <v>0</v>
      </c>
      <c r="I93">
        <f>if(Results!I92="-",0,IF(OR(AND(H93&gt;0,Results!J92&gt;0),AND(H93&lt;0,Results!J92&lt;0),AND(H93=0,Results!J92=0)),1,0))</f>
        <v>0</v>
      </c>
      <c r="J93">
        <f>IF(K93="-",0,if(K93=Results!I92,3,0))</f>
        <v>0</v>
      </c>
      <c r="K93" t="str">
        <f t="shared" si="2"/>
        <v>-</v>
      </c>
      <c r="L93">
        <f t="shared" si="3"/>
        <v>0</v>
      </c>
    </row>
    <row r="94">
      <c r="A94">
        <f>Results!A93</f>
        <v>2</v>
      </c>
      <c r="B94" s="16">
        <f>Results!B93</f>
        <v>46209</v>
      </c>
      <c r="C94" s="15">
        <f>Results!C93</f>
        <v>0.75</v>
      </c>
      <c r="D94" t="str">
        <f>Results!E93</f>
        <v>Winner Match 81</v>
      </c>
      <c r="G94" t="str">
        <f>Results!H93</f>
        <v>Winner Match 82</v>
      </c>
      <c r="H94">
        <f t="shared" si="1"/>
        <v>0</v>
      </c>
      <c r="I94">
        <f>if(Results!I93="-",0,IF(OR(AND(H94&gt;0,Results!J93&gt;0),AND(H94&lt;0,Results!J93&lt;0),AND(H94=0,Results!J93=0)),1,0))</f>
        <v>0</v>
      </c>
      <c r="J94">
        <f>IF(K94="-",0,if(K94=Results!I93,3,0))</f>
        <v>0</v>
      </c>
      <c r="K94" t="str">
        <f t="shared" si="2"/>
        <v>-</v>
      </c>
      <c r="L94">
        <f t="shared" si="3"/>
        <v>0</v>
      </c>
    </row>
    <row r="95">
      <c r="A95">
        <f>Results!A94</f>
        <v>2</v>
      </c>
      <c r="B95" s="16">
        <f>Results!B94</f>
        <v>46209</v>
      </c>
      <c r="C95" s="15">
        <f>Results!C94</f>
        <v>0.8958333333</v>
      </c>
      <c r="D95" t="str">
        <f>Results!E94</f>
        <v>Winner Match 83</v>
      </c>
      <c r="G95" t="str">
        <f>Results!H94</f>
        <v>Winner Match 84</v>
      </c>
      <c r="H95">
        <f t="shared" si="1"/>
        <v>0</v>
      </c>
      <c r="I95">
        <f>if(Results!I94="-",0,IF(OR(AND(H95&gt;0,Results!J94&gt;0),AND(H95&lt;0,Results!J94&lt;0),AND(H95=0,Results!J94=0)),1,0))</f>
        <v>0</v>
      </c>
      <c r="J95">
        <f>IF(K95="-",0,if(K95=Results!I94,3,0))</f>
        <v>0</v>
      </c>
      <c r="K95" t="str">
        <f t="shared" si="2"/>
        <v>-</v>
      </c>
      <c r="L95">
        <f t="shared" si="3"/>
        <v>0</v>
      </c>
    </row>
    <row r="96">
      <c r="A96">
        <f>Results!A95</f>
        <v>3</v>
      </c>
      <c r="B96" s="16">
        <f>Results!B95</f>
        <v>46210</v>
      </c>
      <c r="C96" s="15">
        <f>Results!C95</f>
        <v>0.75</v>
      </c>
      <c r="D96" t="str">
        <f>Results!E95</f>
        <v>Winner Match 85</v>
      </c>
      <c r="G96" t="str">
        <f>Results!H95</f>
        <v>Winner Match 86</v>
      </c>
      <c r="H96">
        <f t="shared" si="1"/>
        <v>0</v>
      </c>
      <c r="I96">
        <f>if(Results!I95="-",0,IF(OR(AND(H96&gt;0,Results!J95&gt;0),AND(H96&lt;0,Results!J95&lt;0),AND(H96=0,Results!J95=0)),1,0))</f>
        <v>0</v>
      </c>
      <c r="J96">
        <f>IF(K96="-",0,if(K96=Results!I95,3,0))</f>
        <v>0</v>
      </c>
      <c r="K96" t="str">
        <f t="shared" si="2"/>
        <v>-</v>
      </c>
      <c r="L96">
        <f t="shared" si="3"/>
        <v>0</v>
      </c>
    </row>
    <row r="97">
      <c r="A97">
        <f>Results!A96</f>
        <v>3</v>
      </c>
      <c r="B97" s="16">
        <f>Results!B96</f>
        <v>46210</v>
      </c>
      <c r="C97" s="15">
        <f>Results!C96</f>
        <v>0.8958333333</v>
      </c>
      <c r="D97" t="str">
        <f>Results!E96</f>
        <v>Winner Match 87</v>
      </c>
      <c r="G97" t="str">
        <f>Results!H96</f>
        <v>Winner Match 88</v>
      </c>
      <c r="H97">
        <f t="shared" si="1"/>
        <v>0</v>
      </c>
      <c r="I97">
        <f>if(Results!I96="-",0,IF(OR(AND(H97&gt;0,Results!J96&gt;0),AND(H97&lt;0,Results!J96&lt;0),AND(H97=0,Results!J96=0)),1,0))</f>
        <v>0</v>
      </c>
      <c r="J97">
        <f>IF(K97="-",0,if(K97=Results!I96,3,0))</f>
        <v>0</v>
      </c>
      <c r="K97" t="str">
        <f t="shared" si="2"/>
        <v>-</v>
      </c>
      <c r="L97">
        <f t="shared" si="3"/>
        <v>0</v>
      </c>
    </row>
    <row r="98">
      <c r="A98">
        <f>Results!A97</f>
        <v>5</v>
      </c>
      <c r="B98" s="16">
        <f>Results!B97</f>
        <v>46212</v>
      </c>
      <c r="C98" s="15">
        <f>Results!C97</f>
        <v>0.8333333333</v>
      </c>
      <c r="D98" t="str">
        <f>Results!E97</f>
        <v>Winner Match 89</v>
      </c>
      <c r="G98" t="str">
        <f>Results!H97</f>
        <v>Winner Match 90</v>
      </c>
      <c r="H98">
        <f t="shared" si="1"/>
        <v>0</v>
      </c>
      <c r="I98">
        <f>if(Results!I97="-",0,IF(OR(AND(H98&gt;0,Results!J97&gt;0),AND(H98&lt;0,Results!J97&lt;0),AND(H98=0,Results!J97=0)),1,0))</f>
        <v>0</v>
      </c>
      <c r="J98">
        <f>IF(K98="-",0,if(K98=Results!I97,3,0))</f>
        <v>0</v>
      </c>
      <c r="K98" t="str">
        <f t="shared" si="2"/>
        <v>-</v>
      </c>
      <c r="L98">
        <f t="shared" si="3"/>
        <v>0</v>
      </c>
    </row>
    <row r="99">
      <c r="A99">
        <f>Results!A98</f>
        <v>6</v>
      </c>
      <c r="B99" s="14">
        <f>Results!B98</f>
        <v>46213</v>
      </c>
      <c r="C99" s="15">
        <f>Results!C98</f>
        <v>0.8333333333</v>
      </c>
      <c r="D99" t="str">
        <f>Results!E98</f>
        <v>Winner Match 91</v>
      </c>
      <c r="G99" t="str">
        <f>Results!H98</f>
        <v>Winner Match 92</v>
      </c>
      <c r="H99">
        <f t="shared" si="1"/>
        <v>0</v>
      </c>
      <c r="I99">
        <f>if(Results!I98="-",0,IF(OR(AND(H99&gt;0,Results!J98&gt;0),AND(H99&lt;0,Results!J98&lt;0),AND(H99=0,Results!J98=0)),1,0))</f>
        <v>0</v>
      </c>
      <c r="J99">
        <f>IF(K99="-",0,if(K99=Results!I98,3,0))</f>
        <v>0</v>
      </c>
      <c r="K99" t="str">
        <f t="shared" si="2"/>
        <v>-</v>
      </c>
      <c r="L99">
        <f t="shared" si="3"/>
        <v>0</v>
      </c>
    </row>
    <row r="100">
      <c r="A100">
        <f>Results!A99</f>
        <v>7</v>
      </c>
      <c r="B100" s="14">
        <f>Results!B99</f>
        <v>46214</v>
      </c>
      <c r="C100" s="15">
        <f>Results!C99</f>
        <v>0.75</v>
      </c>
      <c r="D100" t="str">
        <f>Results!E99</f>
        <v>Winner Match 93</v>
      </c>
      <c r="G100" t="str">
        <f>Results!H99</f>
        <v>Winner Match 94</v>
      </c>
      <c r="H100">
        <f t="shared" si="1"/>
        <v>0</v>
      </c>
      <c r="I100">
        <f>if(Results!I99="-",0,IF(OR(AND(H100&gt;0,Results!J99&gt;0),AND(H100&lt;0,Results!J99&lt;0),AND(H100=0,Results!J99=0)),1,0))</f>
        <v>0</v>
      </c>
      <c r="J100">
        <f>IF(K100="-",0,if(K100=Results!I99,3,0))</f>
        <v>0</v>
      </c>
      <c r="K100" t="str">
        <f t="shared" si="2"/>
        <v>-</v>
      </c>
      <c r="L100">
        <f t="shared" si="3"/>
        <v>0</v>
      </c>
    </row>
    <row r="101">
      <c r="A101">
        <f>Results!A100</f>
        <v>7</v>
      </c>
      <c r="B101" s="14">
        <f>Results!B100</f>
        <v>46214</v>
      </c>
      <c r="C101" s="15">
        <f>Results!C100</f>
        <v>0.8958333333</v>
      </c>
      <c r="D101" t="str">
        <f>Results!E100</f>
        <v>Winner Match 95</v>
      </c>
      <c r="G101" t="str">
        <f>Results!H100</f>
        <v>Winner Match 96</v>
      </c>
      <c r="H101">
        <f t="shared" si="1"/>
        <v>0</v>
      </c>
      <c r="I101">
        <f>if(Results!I100="-",0,IF(OR(AND(H101&gt;0,Results!J100&gt;0),AND(H101&lt;0,Results!J100&lt;0),AND(H101=0,Results!J100=0)),1,0))</f>
        <v>0</v>
      </c>
      <c r="J101">
        <f>IF(K101="-",0,if(K101=Results!I100,3,0))</f>
        <v>0</v>
      </c>
      <c r="K101" t="str">
        <f t="shared" si="2"/>
        <v>-</v>
      </c>
      <c r="L101">
        <f t="shared" si="3"/>
        <v>0</v>
      </c>
    </row>
    <row r="102">
      <c r="A102">
        <f>Results!A101</f>
        <v>3</v>
      </c>
      <c r="B102" s="14">
        <f>Results!B101</f>
        <v>46217</v>
      </c>
      <c r="C102" s="15">
        <f>Results!C101</f>
        <v>0.8333333333</v>
      </c>
      <c r="D102" t="str">
        <f>Results!E101</f>
        <v>Winner Match 97</v>
      </c>
      <c r="G102" t="str">
        <f>Results!H101</f>
        <v>Winner Match 98</v>
      </c>
      <c r="H102">
        <f t="shared" si="1"/>
        <v>0</v>
      </c>
      <c r="I102">
        <f>if(Results!I101="-",0,IF(OR(AND(H102&gt;0,Results!J101&gt;0),AND(H102&lt;0,Results!J101&lt;0),AND(H102=0,Results!J101=0)),1,0))</f>
        <v>0</v>
      </c>
      <c r="J102">
        <f>IF(K102="-",0,if(K102=Results!I101,3,0))</f>
        <v>0</v>
      </c>
      <c r="K102" t="str">
        <f t="shared" si="2"/>
        <v>-</v>
      </c>
      <c r="L102">
        <f t="shared" si="3"/>
        <v>0</v>
      </c>
    </row>
    <row r="103">
      <c r="A103">
        <f>Results!A102</f>
        <v>4</v>
      </c>
      <c r="B103" s="14">
        <f>Results!B102</f>
        <v>46218</v>
      </c>
      <c r="C103" s="15">
        <f>Results!C102</f>
        <v>0.8333333333</v>
      </c>
      <c r="D103" t="str">
        <f>Results!E102</f>
        <v>Winner Match 99</v>
      </c>
      <c r="G103" t="str">
        <f>Results!H102</f>
        <v>Winner Match 100</v>
      </c>
      <c r="H103">
        <f t="shared" si="1"/>
        <v>0</v>
      </c>
      <c r="I103">
        <f>if(Results!I102="-",0,IF(OR(AND(H103&gt;0,Results!J102&gt;0),AND(H103&lt;0,Results!J102&lt;0),AND(H103=0,Results!J102=0)),1,0))</f>
        <v>0</v>
      </c>
      <c r="J103">
        <f>IF(K103="-",0,if(K103=Results!I102,3,0))</f>
        <v>0</v>
      </c>
      <c r="K103" t="str">
        <f t="shared" si="2"/>
        <v>-</v>
      </c>
      <c r="L103">
        <f t="shared" si="3"/>
        <v>0</v>
      </c>
    </row>
    <row r="104">
      <c r="A104">
        <f>Results!A103</f>
        <v>7</v>
      </c>
      <c r="B104" s="14">
        <f>Results!B103</f>
        <v>46221</v>
      </c>
      <c r="C104" s="15">
        <f>Results!C103</f>
        <v>0.8333333333</v>
      </c>
      <c r="D104" t="str">
        <f>Results!E103</f>
        <v>Loser Match 101</v>
      </c>
      <c r="G104" t="str">
        <f>Results!H103</f>
        <v>Loser Match 102</v>
      </c>
      <c r="H104">
        <f t="shared" si="1"/>
        <v>0</v>
      </c>
      <c r="I104">
        <f>if(Results!I103="-",0,IF(OR(AND(H104&gt;0,Results!J103&gt;0),AND(H104&lt;0,Results!J103&lt;0),AND(H104=0,Results!J103=0)),1,0))</f>
        <v>0</v>
      </c>
      <c r="J104">
        <f>IF(K104="-",0,if(K104=Results!I103,3,0))</f>
        <v>0</v>
      </c>
      <c r="K104" t="str">
        <f t="shared" si="2"/>
        <v>-</v>
      </c>
      <c r="L104">
        <f t="shared" si="3"/>
        <v>0</v>
      </c>
    </row>
    <row r="105">
      <c r="A105">
        <f>Results!A104</f>
        <v>1</v>
      </c>
      <c r="B105" s="14">
        <f>Results!B104</f>
        <v>46222</v>
      </c>
      <c r="C105" s="15">
        <f>Results!C104</f>
        <v>0.8333333333</v>
      </c>
      <c r="D105" t="str">
        <f>Results!E104</f>
        <v>Winner Match 101</v>
      </c>
      <c r="G105" t="str">
        <f>Results!H104</f>
        <v>Winner Match 102</v>
      </c>
      <c r="H105">
        <f t="shared" si="1"/>
        <v>0</v>
      </c>
      <c r="I105">
        <f>if(Results!I104="-",0,IF(OR(AND(H105&gt;0,Results!J104&gt;0),AND(H105&lt;0,Results!J104&lt;0),AND(H105=0,Results!J104=0)),1,0))</f>
        <v>0</v>
      </c>
      <c r="J105">
        <f>IF(K105="-",0,if(K105=Results!I104,3,0))</f>
        <v>0</v>
      </c>
      <c r="K105" t="str">
        <f t="shared" si="2"/>
        <v>-</v>
      </c>
      <c r="L105">
        <f t="shared" si="3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9"/>
      <c r="F1" s="9"/>
    </row>
    <row r="2">
      <c r="A2">
        <f>Results!A1</f>
        <v>5</v>
      </c>
      <c r="B2" s="14">
        <f>Results!B1</f>
        <v>46184</v>
      </c>
      <c r="C2" s="15">
        <f>Results!C1</f>
        <v>0.8333333333</v>
      </c>
      <c r="D2" t="str">
        <f>Results!E1</f>
        <v>Mexico</v>
      </c>
      <c r="E2" s="9">
        <v>2.0</v>
      </c>
      <c r="F2" s="9">
        <v>0.0</v>
      </c>
      <c r="G2" t="str">
        <f>Results!H1</f>
        <v>South Africa</v>
      </c>
      <c r="H2">
        <f t="shared" ref="H2:H105" si="1">E2-F2</f>
        <v>2</v>
      </c>
      <c r="I2">
        <f>if(Results!I1="-",0,IF(OR(AND(H2&gt;0,Results!J1&gt;0),AND(H2&lt;0,Results!J1&lt;0),AND(H2=0,Results!J1=0)),1,0))</f>
        <v>1</v>
      </c>
      <c r="J2">
        <f>IF(K2="-",0,if(K2=Results!I1,3,0))</f>
        <v>3</v>
      </c>
      <c r="K2" t="str">
        <f t="shared" ref="K2:K105" si="2">E2&amp;"-"&amp;F2</f>
        <v>2-0</v>
      </c>
      <c r="L2">
        <f t="shared" ref="L2:L105" si="3">MAX(I2,J2)</f>
        <v>3</v>
      </c>
    </row>
    <row r="3">
      <c r="A3">
        <f>Results!A2</f>
        <v>6</v>
      </c>
      <c r="B3" s="14">
        <f>Results!B2</f>
        <v>46185</v>
      </c>
      <c r="C3" s="15">
        <f>Results!C2</f>
        <v>0.125</v>
      </c>
      <c r="D3" t="str">
        <f>Results!E2</f>
        <v>South Korea</v>
      </c>
      <c r="E3" s="9">
        <v>1.0</v>
      </c>
      <c r="F3" s="9">
        <v>1.0</v>
      </c>
      <c r="G3" t="str">
        <f>Results!H2</f>
        <v>Czech Republic</v>
      </c>
      <c r="H3">
        <f t="shared" si="1"/>
        <v>0</v>
      </c>
      <c r="I3">
        <f>if(Results!I2="-",0,IF(OR(AND(H3&gt;0,Results!J2&gt;0),AND(H3&lt;0,Results!J2&lt;0),AND(H3=0,Results!J2=0)),1,0))</f>
        <v>0</v>
      </c>
      <c r="J3">
        <f>IF(K3="-",0,if(K3=Results!I2,3,0))</f>
        <v>0</v>
      </c>
      <c r="K3" t="str">
        <f t="shared" si="2"/>
        <v>1-1</v>
      </c>
      <c r="L3">
        <f t="shared" si="3"/>
        <v>0</v>
      </c>
    </row>
    <row r="4">
      <c r="A4">
        <f>Results!A3</f>
        <v>6</v>
      </c>
      <c r="B4" s="14">
        <f>Results!B3</f>
        <v>46185</v>
      </c>
      <c r="C4" s="15">
        <f>Results!C3</f>
        <v>0.8333333333</v>
      </c>
      <c r="D4" t="str">
        <f>Results!E3</f>
        <v>Canada</v>
      </c>
      <c r="E4" s="9">
        <v>2.0</v>
      </c>
      <c r="F4" s="9">
        <v>1.0</v>
      </c>
      <c r="G4" t="str">
        <f>Results!H3</f>
        <v>Bosnia and Herzegovina</v>
      </c>
      <c r="H4">
        <f t="shared" si="1"/>
        <v>1</v>
      </c>
      <c r="I4">
        <f>if(Results!I3="-",0,IF(OR(AND(H4&gt;0,Results!J3&gt;0),AND(H4&lt;0,Results!J3&lt;0),AND(H4=0,Results!J3=0)),1,0))</f>
        <v>0</v>
      </c>
      <c r="J4">
        <f>IF(K4="-",0,if(K4=Results!I3,3,0))</f>
        <v>0</v>
      </c>
      <c r="K4" t="str">
        <f t="shared" si="2"/>
        <v>2-1</v>
      </c>
      <c r="L4">
        <f t="shared" si="3"/>
        <v>0</v>
      </c>
    </row>
    <row r="5">
      <c r="A5">
        <f>Results!A4</f>
        <v>7</v>
      </c>
      <c r="B5" s="14">
        <f>Results!B4</f>
        <v>46186</v>
      </c>
      <c r="C5" s="15">
        <f>Results!C4</f>
        <v>0.08333333333</v>
      </c>
      <c r="D5" t="str">
        <f>Results!E4</f>
        <v>USA</v>
      </c>
      <c r="E5" s="9">
        <v>2.0</v>
      </c>
      <c r="F5" s="9">
        <v>0.0</v>
      </c>
      <c r="G5" t="str">
        <f>Results!H4</f>
        <v>Paraguay</v>
      </c>
      <c r="H5">
        <f t="shared" si="1"/>
        <v>2</v>
      </c>
      <c r="I5">
        <f>if(Results!I4="-",0,IF(OR(AND(H5&gt;0,Results!J4&gt;0),AND(H5&lt;0,Results!J4&lt;0),AND(H5=0,Results!J4=0)),1,0))</f>
        <v>1</v>
      </c>
      <c r="J5">
        <f>IF(K5="-",0,if(K5=Results!I4,3,0))</f>
        <v>0</v>
      </c>
      <c r="K5" t="str">
        <f t="shared" si="2"/>
        <v>2-0</v>
      </c>
      <c r="L5">
        <f t="shared" si="3"/>
        <v>1</v>
      </c>
    </row>
    <row r="6">
      <c r="A6">
        <f>Results!A5</f>
        <v>7</v>
      </c>
      <c r="B6" s="14">
        <f>Results!B5</f>
        <v>46186</v>
      </c>
      <c r="C6" s="15">
        <f>Results!C5</f>
        <v>0.8333333333</v>
      </c>
      <c r="D6" t="str">
        <f>Results!E5</f>
        <v>Qatar</v>
      </c>
      <c r="E6" s="9">
        <v>0.0</v>
      </c>
      <c r="F6" s="9">
        <v>2.0</v>
      </c>
      <c r="G6" t="str">
        <f>Results!H5</f>
        <v>Switzerland</v>
      </c>
      <c r="H6">
        <f t="shared" si="1"/>
        <v>-2</v>
      </c>
      <c r="I6">
        <f>if(Results!I5="-",0,IF(OR(AND(H6&gt;0,Results!J5&gt;0),AND(H6&lt;0,Results!J5&lt;0),AND(H6=0,Results!J5=0)),1,0))</f>
        <v>0</v>
      </c>
      <c r="J6">
        <f>IF(K6="-",0,if(K6=Results!I5,3,0))</f>
        <v>0</v>
      </c>
      <c r="K6" t="str">
        <f t="shared" si="2"/>
        <v>0-2</v>
      </c>
      <c r="L6">
        <f t="shared" si="3"/>
        <v>0</v>
      </c>
    </row>
    <row r="7">
      <c r="A7">
        <f>Results!A6</f>
        <v>7</v>
      </c>
      <c r="B7" s="14">
        <f>Results!B6</f>
        <v>46186</v>
      </c>
      <c r="C7" s="15">
        <f>Results!C6</f>
        <v>0.9583333333</v>
      </c>
      <c r="D7" t="str">
        <f>Results!E6</f>
        <v>Brazil</v>
      </c>
      <c r="E7" s="9">
        <v>2.0</v>
      </c>
      <c r="F7" s="9">
        <v>1.0</v>
      </c>
      <c r="G7" t="str">
        <f>Results!H6</f>
        <v>Morocco</v>
      </c>
      <c r="H7">
        <f t="shared" si="1"/>
        <v>1</v>
      </c>
      <c r="I7">
        <f>if(Results!I6="-",0,IF(OR(AND(H7&gt;0,Results!J6&gt;0),AND(H7&lt;0,Results!J6&lt;0),AND(H7=0,Results!J6=0)),1,0))</f>
        <v>0</v>
      </c>
      <c r="J7">
        <f>IF(K7="-",0,if(K7=Results!I6,3,0))</f>
        <v>0</v>
      </c>
      <c r="K7" t="str">
        <f t="shared" si="2"/>
        <v>2-1</v>
      </c>
      <c r="L7">
        <f t="shared" si="3"/>
        <v>0</v>
      </c>
    </row>
    <row r="8">
      <c r="A8">
        <f>Results!A7</f>
        <v>1</v>
      </c>
      <c r="B8" s="14">
        <f>Results!B7</f>
        <v>46187</v>
      </c>
      <c r="C8" s="15">
        <f>Results!C7</f>
        <v>0.08333333333</v>
      </c>
      <c r="D8" t="str">
        <f>Results!E7</f>
        <v>Haiti</v>
      </c>
      <c r="E8" s="9">
        <v>1.0</v>
      </c>
      <c r="F8" s="9">
        <v>2.0</v>
      </c>
      <c r="G8" t="str">
        <f>Results!H7</f>
        <v>Scotland</v>
      </c>
      <c r="H8">
        <f t="shared" si="1"/>
        <v>-1</v>
      </c>
      <c r="I8">
        <f>if(Results!I7="-",0,IF(OR(AND(H8&gt;0,Results!J7&gt;0),AND(H8&lt;0,Results!J7&lt;0),AND(H8=0,Results!J7=0)),1,0))</f>
        <v>1</v>
      </c>
      <c r="J8">
        <f>IF(K8="-",0,if(K8=Results!I7,3,0))</f>
        <v>0</v>
      </c>
      <c r="K8" t="str">
        <f t="shared" si="2"/>
        <v>1-2</v>
      </c>
      <c r="L8">
        <f t="shared" si="3"/>
        <v>1</v>
      </c>
    </row>
    <row r="9">
      <c r="A9">
        <f>Results!A8</f>
        <v>1</v>
      </c>
      <c r="B9" s="14">
        <f>Results!B8</f>
        <v>46187</v>
      </c>
      <c r="C9" s="15">
        <f>Results!C8</f>
        <v>0.2083333333</v>
      </c>
      <c r="D9" t="str">
        <f>Results!E8</f>
        <v>Australia</v>
      </c>
      <c r="E9" s="9">
        <v>1.0</v>
      </c>
      <c r="F9" s="9">
        <v>1.0</v>
      </c>
      <c r="G9" t="str">
        <f>Results!H8</f>
        <v>Türkiye</v>
      </c>
      <c r="H9">
        <f t="shared" si="1"/>
        <v>0</v>
      </c>
      <c r="I9">
        <f>if(Results!I8="-",0,IF(OR(AND(H9&gt;0,Results!J8&gt;0),AND(H9&lt;0,Results!J8&lt;0),AND(H9=0,Results!J8=0)),1,0))</f>
        <v>0</v>
      </c>
      <c r="J9">
        <f>IF(K9="-",0,if(K9=Results!I8,3,0))</f>
        <v>0</v>
      </c>
      <c r="K9" t="str">
        <f t="shared" si="2"/>
        <v>1-1</v>
      </c>
      <c r="L9">
        <f t="shared" si="3"/>
        <v>0</v>
      </c>
    </row>
    <row r="10">
      <c r="A10">
        <f>Results!A9</f>
        <v>1</v>
      </c>
      <c r="B10" s="14">
        <f>Results!B9</f>
        <v>46187</v>
      </c>
      <c r="C10" s="15">
        <f>Results!C9</f>
        <v>0.75</v>
      </c>
      <c r="D10" t="str">
        <f>Results!E9</f>
        <v>Germany</v>
      </c>
      <c r="E10" s="9">
        <v>3.0</v>
      </c>
      <c r="F10" s="9">
        <v>0.0</v>
      </c>
      <c r="G10" t="str">
        <f>Results!H9</f>
        <v>Curaçao</v>
      </c>
      <c r="H10">
        <f t="shared" si="1"/>
        <v>3</v>
      </c>
      <c r="I10">
        <f>if(Results!I9="-",0,IF(OR(AND(H10&gt;0,Results!J9&gt;0),AND(H10&lt;0,Results!J9&lt;0),AND(H10=0,Results!J9=0)),1,0))</f>
        <v>1</v>
      </c>
      <c r="J10">
        <f>IF(K10="-",0,if(K10=Results!I9,3,0))</f>
        <v>0</v>
      </c>
      <c r="K10" t="str">
        <f t="shared" si="2"/>
        <v>3-0</v>
      </c>
      <c r="L10">
        <f t="shared" si="3"/>
        <v>1</v>
      </c>
    </row>
    <row r="11">
      <c r="A11">
        <f>Results!A10</f>
        <v>1</v>
      </c>
      <c r="B11" s="14">
        <f>Results!B10</f>
        <v>46187</v>
      </c>
      <c r="C11" s="15">
        <f>Results!C10</f>
        <v>0.875</v>
      </c>
      <c r="D11" t="str">
        <f>Results!E10</f>
        <v>Netherlands</v>
      </c>
      <c r="E11" s="9">
        <v>2.0</v>
      </c>
      <c r="F11" s="9">
        <v>1.0</v>
      </c>
      <c r="G11" t="str">
        <f>Results!H10</f>
        <v>Japan</v>
      </c>
      <c r="H11">
        <f t="shared" si="1"/>
        <v>1</v>
      </c>
      <c r="I11">
        <f>if(Results!I10="-",0,IF(OR(AND(H11&gt;0,Results!J10&gt;0),AND(H11&lt;0,Results!J10&lt;0),AND(H11=0,Results!J10=0)),1,0))</f>
        <v>0</v>
      </c>
      <c r="J11">
        <f>IF(K11="-",0,if(K11=Results!I10,3,0))</f>
        <v>0</v>
      </c>
      <c r="K11" t="str">
        <f t="shared" si="2"/>
        <v>2-1</v>
      </c>
      <c r="L11">
        <f t="shared" si="3"/>
        <v>0</v>
      </c>
    </row>
    <row r="12">
      <c r="A12">
        <f>Results!A11</f>
        <v>2</v>
      </c>
      <c r="B12" s="14">
        <f>Results!B11</f>
        <v>46188</v>
      </c>
      <c r="C12" s="15">
        <f>Results!C11</f>
        <v>0</v>
      </c>
      <c r="D12" t="str">
        <f>Results!E11</f>
        <v>Ivory Coast</v>
      </c>
      <c r="E12" s="9">
        <v>1.0</v>
      </c>
      <c r="F12" s="9">
        <v>1.0</v>
      </c>
      <c r="G12" t="str">
        <f>Results!H11</f>
        <v>Ecuador</v>
      </c>
      <c r="H12">
        <f t="shared" si="1"/>
        <v>0</v>
      </c>
      <c r="I12">
        <f>if(Results!I11="-",0,IF(OR(AND(H12&gt;0,Results!J11&gt;0),AND(H12&lt;0,Results!J11&lt;0),AND(H12=0,Results!J11=0)),1,0))</f>
        <v>0</v>
      </c>
      <c r="J12">
        <f>IF(K12="-",0,if(K12=Results!I11,3,0))</f>
        <v>0</v>
      </c>
      <c r="K12" t="str">
        <f t="shared" si="2"/>
        <v>1-1</v>
      </c>
      <c r="L12">
        <f t="shared" si="3"/>
        <v>0</v>
      </c>
    </row>
    <row r="13">
      <c r="A13">
        <f>Results!A12</f>
        <v>2</v>
      </c>
      <c r="B13" s="14">
        <f>Results!B12</f>
        <v>46188</v>
      </c>
      <c r="C13" s="15">
        <f>Results!C12</f>
        <v>0.125</v>
      </c>
      <c r="D13" t="str">
        <f>Results!E12</f>
        <v>Sweden</v>
      </c>
      <c r="E13" s="9">
        <v>2.0</v>
      </c>
      <c r="F13" s="9">
        <v>0.0</v>
      </c>
      <c r="G13" t="str">
        <f>Results!H12</f>
        <v>Tunisia</v>
      </c>
      <c r="H13">
        <f t="shared" si="1"/>
        <v>2</v>
      </c>
      <c r="I13">
        <f>if(Results!I12="-",0,IF(OR(AND(H13&gt;0,Results!J12&gt;0),AND(H13&lt;0,Results!J12&lt;0),AND(H13=0,Results!J12=0)),1,0))</f>
        <v>1</v>
      </c>
      <c r="J13">
        <f>IF(K13="-",0,if(K13=Results!I12,3,0))</f>
        <v>0</v>
      </c>
      <c r="K13" t="str">
        <f t="shared" si="2"/>
        <v>2-0</v>
      </c>
      <c r="L13">
        <f t="shared" si="3"/>
        <v>1</v>
      </c>
    </row>
    <row r="14">
      <c r="A14">
        <f>Results!A13</f>
        <v>2</v>
      </c>
      <c r="B14" s="14">
        <f>Results!B13</f>
        <v>46188</v>
      </c>
      <c r="C14" s="15">
        <f>Results!C13</f>
        <v>0.7083333333</v>
      </c>
      <c r="D14" t="str">
        <f>Results!E13</f>
        <v>Spain</v>
      </c>
      <c r="E14" s="9">
        <v>4.0</v>
      </c>
      <c r="F14" s="9">
        <v>0.0</v>
      </c>
      <c r="G14" t="str">
        <f>Results!H13</f>
        <v>Cape Verde</v>
      </c>
      <c r="H14">
        <f t="shared" si="1"/>
        <v>4</v>
      </c>
      <c r="I14">
        <f>if(Results!I13="-",0,IF(OR(AND(H14&gt;0,Results!J13&gt;0),AND(H14&lt;0,Results!J13&lt;0),AND(H14=0,Results!J13=0)),1,0))</f>
        <v>0</v>
      </c>
      <c r="J14">
        <f>IF(K14="-",0,if(K14=Results!I13,3,0))</f>
        <v>0</v>
      </c>
      <c r="K14" t="str">
        <f t="shared" si="2"/>
        <v>4-0</v>
      </c>
      <c r="L14">
        <f t="shared" si="3"/>
        <v>0</v>
      </c>
    </row>
    <row r="15">
      <c r="A15">
        <f>Results!A14</f>
        <v>2</v>
      </c>
      <c r="B15" s="14">
        <f>Results!B14</f>
        <v>46188</v>
      </c>
      <c r="C15" s="15">
        <f>Results!C14</f>
        <v>0.8333333333</v>
      </c>
      <c r="D15" t="str">
        <f>Results!E14</f>
        <v>Belgium</v>
      </c>
      <c r="E15" s="9">
        <v>2.0</v>
      </c>
      <c r="F15" s="9">
        <v>1.0</v>
      </c>
      <c r="G15" t="str">
        <f>Results!H14</f>
        <v>Egypt</v>
      </c>
      <c r="H15">
        <f t="shared" si="1"/>
        <v>1</v>
      </c>
      <c r="I15">
        <f>if(Results!I14="-",0,IF(OR(AND(H15&gt;0,Results!J14&gt;0),AND(H15&lt;0,Results!J14&lt;0),AND(H15=0,Results!J14=0)),1,0))</f>
        <v>0</v>
      </c>
      <c r="J15">
        <f>IF(K15="-",0,if(K15=Results!I14,3,0))</f>
        <v>0</v>
      </c>
      <c r="K15" t="str">
        <f t="shared" si="2"/>
        <v>2-1</v>
      </c>
      <c r="L15">
        <f t="shared" si="3"/>
        <v>0</v>
      </c>
    </row>
    <row r="16">
      <c r="A16">
        <f>Results!A15</f>
        <v>2</v>
      </c>
      <c r="B16" s="14">
        <f>Results!B15</f>
        <v>46188</v>
      </c>
      <c r="C16" s="15">
        <f>Results!C15</f>
        <v>0.9583333333</v>
      </c>
      <c r="D16" t="str">
        <f>Results!E15</f>
        <v>Saudi Arabia</v>
      </c>
      <c r="E16" s="9">
        <v>0.0</v>
      </c>
      <c r="F16" s="9">
        <v>2.0</v>
      </c>
      <c r="G16" t="str">
        <f>Results!H15</f>
        <v>Uruguay</v>
      </c>
      <c r="H16">
        <f t="shared" si="1"/>
        <v>-2</v>
      </c>
      <c r="I16">
        <f>if(Results!I15="-",0,IF(OR(AND(H16&gt;0,Results!J15&gt;0),AND(H16&lt;0,Results!J15&lt;0),AND(H16=0,Results!J15=0)),1,0))</f>
        <v>0</v>
      </c>
      <c r="J16">
        <f>IF(K16="-",0,if(K16=Results!I15,3,0))</f>
        <v>0</v>
      </c>
      <c r="K16" t="str">
        <f t="shared" si="2"/>
        <v>0-2</v>
      </c>
      <c r="L16">
        <f t="shared" si="3"/>
        <v>0</v>
      </c>
    </row>
    <row r="17">
      <c r="A17">
        <f>Results!A16</f>
        <v>3</v>
      </c>
      <c r="B17" s="14">
        <f>Results!B16</f>
        <v>46189</v>
      </c>
      <c r="C17" s="15">
        <f>Results!C16</f>
        <v>0.08333333333</v>
      </c>
      <c r="D17" t="str">
        <f>Results!E16</f>
        <v>Iran</v>
      </c>
      <c r="E17" s="9">
        <v>1.0</v>
      </c>
      <c r="F17" s="9">
        <v>0.0</v>
      </c>
      <c r="G17" t="str">
        <f>Results!H16</f>
        <v>New Zealand</v>
      </c>
      <c r="H17">
        <f t="shared" si="1"/>
        <v>1</v>
      </c>
      <c r="I17">
        <f>if(Results!I16="-",0,IF(OR(AND(H17&gt;0,Results!J16&gt;0),AND(H17&lt;0,Results!J16&lt;0),AND(H17=0,Results!J16=0)),1,0))</f>
        <v>0</v>
      </c>
      <c r="J17">
        <f>IF(K17="-",0,if(K17=Results!I16,3,0))</f>
        <v>0</v>
      </c>
      <c r="K17" t="str">
        <f t="shared" si="2"/>
        <v>1-0</v>
      </c>
      <c r="L17">
        <f t="shared" si="3"/>
        <v>0</v>
      </c>
    </row>
    <row r="18">
      <c r="A18">
        <f>Results!A17</f>
        <v>3</v>
      </c>
      <c r="B18" s="14">
        <f>Results!B17</f>
        <v>46189</v>
      </c>
      <c r="C18" s="15">
        <f>Results!C17</f>
        <v>0.8333333333</v>
      </c>
      <c r="D18" t="str">
        <f>Results!E17</f>
        <v>France</v>
      </c>
      <c r="E18" s="9">
        <v>2.0</v>
      </c>
      <c r="F18" s="9">
        <v>1.0</v>
      </c>
      <c r="G18" t="str">
        <f>Results!H17</f>
        <v>Senegal</v>
      </c>
      <c r="H18">
        <f t="shared" si="1"/>
        <v>1</v>
      </c>
      <c r="I18">
        <f>if(Results!I17="-",0,IF(OR(AND(H18&gt;0,Results!J17&gt;0),AND(H18&lt;0,Results!J17&lt;0),AND(H18=0,Results!J17=0)),1,0))</f>
        <v>1</v>
      </c>
      <c r="J18">
        <f>IF(K18="-",0,if(K18=Results!I17,3,0))</f>
        <v>0</v>
      </c>
      <c r="K18" t="str">
        <f t="shared" si="2"/>
        <v>2-1</v>
      </c>
      <c r="L18">
        <f t="shared" si="3"/>
        <v>1</v>
      </c>
    </row>
    <row r="19">
      <c r="A19">
        <f>Results!A18</f>
        <v>3</v>
      </c>
      <c r="B19" s="14">
        <f>Results!B18</f>
        <v>46189</v>
      </c>
      <c r="C19" s="15">
        <f>Results!C18</f>
        <v>0.9583333333</v>
      </c>
      <c r="D19" t="str">
        <f>Results!E18</f>
        <v>Iraq</v>
      </c>
      <c r="E19" s="9">
        <v>0.0</v>
      </c>
      <c r="F19" s="9">
        <v>2.0</v>
      </c>
      <c r="G19" t="str">
        <f>Results!H18</f>
        <v>Norway</v>
      </c>
      <c r="H19">
        <f t="shared" si="1"/>
        <v>-2</v>
      </c>
      <c r="I19">
        <f>if(Results!I18="-",0,IF(OR(AND(H19&gt;0,Results!J18&gt;0),AND(H19&lt;0,Results!J18&lt;0),AND(H19=0,Results!J18=0)),1,0))</f>
        <v>1</v>
      </c>
      <c r="J19">
        <f>IF(K19="-",0,if(K19=Results!I18,3,0))</f>
        <v>0</v>
      </c>
      <c r="K19" t="str">
        <f t="shared" si="2"/>
        <v>0-2</v>
      </c>
      <c r="L19">
        <f t="shared" si="3"/>
        <v>1</v>
      </c>
    </row>
    <row r="20">
      <c r="A20">
        <f>Results!A19</f>
        <v>4</v>
      </c>
      <c r="B20" s="14">
        <f>Results!B19</f>
        <v>46190</v>
      </c>
      <c r="C20" s="15">
        <f>Results!C19</f>
        <v>0.08333333333</v>
      </c>
      <c r="D20" t="str">
        <f>Results!E19</f>
        <v>Argentina</v>
      </c>
      <c r="E20" s="9">
        <v>3.0</v>
      </c>
      <c r="F20" s="9">
        <v>0.0</v>
      </c>
      <c r="G20" t="str">
        <f>Results!H19</f>
        <v>Algeria</v>
      </c>
      <c r="H20">
        <f t="shared" si="1"/>
        <v>3</v>
      </c>
      <c r="I20">
        <f>if(Results!I19="-",0,IF(OR(AND(H20&gt;0,Results!J19&gt;0),AND(H20&lt;0,Results!J19&lt;0),AND(H20=0,Results!J19=0)),1,0))</f>
        <v>1</v>
      </c>
      <c r="J20">
        <f>IF(K20="-",0,if(K20=Results!I19,3,0))</f>
        <v>3</v>
      </c>
      <c r="K20" t="str">
        <f t="shared" si="2"/>
        <v>3-0</v>
      </c>
      <c r="L20">
        <f t="shared" si="3"/>
        <v>3</v>
      </c>
    </row>
    <row r="21">
      <c r="A21">
        <f>Results!A20</f>
        <v>4</v>
      </c>
      <c r="B21" s="14">
        <f>Results!B20</f>
        <v>46190</v>
      </c>
      <c r="C21" s="15">
        <f>Results!C20</f>
        <v>0.2083333333</v>
      </c>
      <c r="D21" t="str">
        <f>Results!E20</f>
        <v>Austria</v>
      </c>
      <c r="E21" s="9">
        <v>2.0</v>
      </c>
      <c r="F21" s="9">
        <v>1.0</v>
      </c>
      <c r="G21" t="str">
        <f>Results!H20</f>
        <v>Jordan</v>
      </c>
      <c r="H21">
        <f t="shared" si="1"/>
        <v>1</v>
      </c>
      <c r="I21">
        <f>if(Results!I20="-",0,IF(OR(AND(H21&gt;0,Results!J20&gt;0),AND(H21&lt;0,Results!J20&lt;0),AND(H21=0,Results!J20=0)),1,0))</f>
        <v>1</v>
      </c>
      <c r="J21">
        <f>IF(K21="-",0,if(K21=Results!I20,3,0))</f>
        <v>0</v>
      </c>
      <c r="K21" t="str">
        <f t="shared" si="2"/>
        <v>2-1</v>
      </c>
      <c r="L21">
        <f t="shared" si="3"/>
        <v>1</v>
      </c>
    </row>
    <row r="22">
      <c r="A22">
        <f>Results!A21</f>
        <v>4</v>
      </c>
      <c r="B22" s="14">
        <f>Results!B21</f>
        <v>46190</v>
      </c>
      <c r="C22" s="15">
        <f>Results!C21</f>
        <v>0.75</v>
      </c>
      <c r="D22" t="str">
        <f>Results!E21</f>
        <v>Portugal</v>
      </c>
      <c r="E22" s="9">
        <v>3.0</v>
      </c>
      <c r="F22" s="9">
        <v>0.0</v>
      </c>
      <c r="G22" t="str">
        <f>Results!H21</f>
        <v>Congo DR</v>
      </c>
      <c r="H22">
        <f t="shared" si="1"/>
        <v>3</v>
      </c>
      <c r="I22">
        <f>if(Results!I21="-",0,IF(OR(AND(H22&gt;0,Results!J21&gt;0),AND(H22&lt;0,Results!J21&lt;0),AND(H22=0,Results!J21=0)),1,0))</f>
        <v>0</v>
      </c>
      <c r="J22">
        <f>IF(K22="-",0,if(K22=Results!I21,3,0))</f>
        <v>0</v>
      </c>
      <c r="K22" t="str">
        <f t="shared" si="2"/>
        <v>3-0</v>
      </c>
      <c r="L22">
        <f t="shared" si="3"/>
        <v>0</v>
      </c>
    </row>
    <row r="23">
      <c r="A23">
        <f>Results!A22</f>
        <v>4</v>
      </c>
      <c r="B23" s="14">
        <f>Results!B22</f>
        <v>46190</v>
      </c>
      <c r="C23" s="15">
        <f>Results!C22</f>
        <v>0.875</v>
      </c>
      <c r="D23" t="str">
        <f>Results!E22</f>
        <v>England</v>
      </c>
      <c r="E23" s="9">
        <v>2.0</v>
      </c>
      <c r="F23" s="9">
        <v>1.0</v>
      </c>
      <c r="G23" t="str">
        <f>Results!H22</f>
        <v>Croatia</v>
      </c>
      <c r="H23">
        <f t="shared" si="1"/>
        <v>1</v>
      </c>
      <c r="I23">
        <f>if(Results!I22="-",0,IF(OR(AND(H23&gt;0,Results!J22&gt;0),AND(H23&lt;0,Results!J22&lt;0),AND(H23=0,Results!J22=0)),1,0))</f>
        <v>1</v>
      </c>
      <c r="J23">
        <f>IF(K23="-",0,if(K23=Results!I22,3,0))</f>
        <v>0</v>
      </c>
      <c r="K23" t="str">
        <f t="shared" si="2"/>
        <v>2-1</v>
      </c>
      <c r="L23">
        <f t="shared" si="3"/>
        <v>1</v>
      </c>
    </row>
    <row r="24">
      <c r="A24">
        <f>Results!A23</f>
        <v>5</v>
      </c>
      <c r="B24" s="14">
        <f>Results!B23</f>
        <v>46191</v>
      </c>
      <c r="C24" s="15">
        <f>Results!C23</f>
        <v>0</v>
      </c>
      <c r="D24" t="str">
        <f>Results!E23</f>
        <v>Ghana</v>
      </c>
      <c r="E24" s="9">
        <v>2.0</v>
      </c>
      <c r="F24" s="9">
        <v>1.0</v>
      </c>
      <c r="G24" t="str">
        <f>Results!H23</f>
        <v>Panama</v>
      </c>
      <c r="H24">
        <f t="shared" si="1"/>
        <v>1</v>
      </c>
      <c r="I24">
        <f>if(Results!I23="-",0,IF(OR(AND(H24&gt;0,Results!J23&gt;0),AND(H24&lt;0,Results!J23&lt;0),AND(H24=0,Results!J23=0)),1,0))</f>
        <v>1</v>
      </c>
      <c r="J24">
        <f>IF(K24="-",0,if(K24=Results!I23,3,0))</f>
        <v>0</v>
      </c>
      <c r="K24" t="str">
        <f t="shared" si="2"/>
        <v>2-1</v>
      </c>
      <c r="L24">
        <f t="shared" si="3"/>
        <v>1</v>
      </c>
    </row>
    <row r="25">
      <c r="A25">
        <f>Results!A24</f>
        <v>5</v>
      </c>
      <c r="B25" s="14">
        <f>Results!B24</f>
        <v>46191</v>
      </c>
      <c r="C25" s="15">
        <f>Results!C24</f>
        <v>0.125</v>
      </c>
      <c r="D25" t="str">
        <f>Results!E24</f>
        <v>Uzbekistan</v>
      </c>
      <c r="E25" s="9">
        <v>0.0</v>
      </c>
      <c r="F25" s="9">
        <v>2.0</v>
      </c>
      <c r="G25" t="str">
        <f>Results!H24</f>
        <v>Colombia</v>
      </c>
      <c r="H25">
        <f t="shared" si="1"/>
        <v>-2</v>
      </c>
      <c r="I25">
        <f>if(Results!I24="-",0,IF(OR(AND(H25&gt;0,Results!J24&gt;0),AND(H25&lt;0,Results!J24&lt;0),AND(H25=0,Results!J24=0)),1,0))</f>
        <v>1</v>
      </c>
      <c r="J25">
        <f>IF(K25="-",0,if(K25=Results!I24,3,0))</f>
        <v>0</v>
      </c>
      <c r="K25" t="str">
        <f t="shared" si="2"/>
        <v>0-2</v>
      </c>
      <c r="L25">
        <f t="shared" si="3"/>
        <v>1</v>
      </c>
    </row>
    <row r="26">
      <c r="A26">
        <f>Results!A25</f>
        <v>5</v>
      </c>
      <c r="B26" s="14">
        <f>Results!B25</f>
        <v>46191</v>
      </c>
      <c r="C26" s="15">
        <f>Results!C25</f>
        <v>0.7083333333</v>
      </c>
      <c r="D26" t="str">
        <f>Results!E25</f>
        <v>Czechia</v>
      </c>
      <c r="E26" s="9">
        <v>1.0</v>
      </c>
      <c r="F26" s="9">
        <v>1.0</v>
      </c>
      <c r="G26" t="str">
        <f>Results!H25</f>
        <v>South Africa</v>
      </c>
      <c r="H26">
        <f t="shared" si="1"/>
        <v>0</v>
      </c>
      <c r="I26">
        <f>if(Results!I25="-",0,IF(OR(AND(H26&gt;0,Results!J25&gt;0),AND(H26&lt;0,Results!J25&lt;0),AND(H26=0,Results!J25=0)),1,0))</f>
        <v>1</v>
      </c>
      <c r="J26">
        <f>IF(K26="-",0,if(K26=Results!I25,3,0))</f>
        <v>3</v>
      </c>
      <c r="K26" t="str">
        <f t="shared" si="2"/>
        <v>1-1</v>
      </c>
      <c r="L26">
        <f t="shared" si="3"/>
        <v>3</v>
      </c>
    </row>
    <row r="27">
      <c r="A27">
        <f>Results!A26</f>
        <v>5</v>
      </c>
      <c r="B27" s="14">
        <f>Results!B26</f>
        <v>46191</v>
      </c>
      <c r="C27" s="15">
        <f>Results!C26</f>
        <v>0.8333333333</v>
      </c>
      <c r="D27" t="str">
        <f>Results!E26</f>
        <v>Switzerland</v>
      </c>
      <c r="E27" s="9">
        <v>2.0</v>
      </c>
      <c r="F27" s="9">
        <v>0.0</v>
      </c>
      <c r="G27" t="str">
        <f>Results!H26</f>
        <v>Bosnia and Herzegovina</v>
      </c>
      <c r="H27">
        <f t="shared" si="1"/>
        <v>2</v>
      </c>
      <c r="I27">
        <f>if(Results!I26="-",0,IF(OR(AND(H27&gt;0,Results!J26&gt;0),AND(H27&lt;0,Results!J26&lt;0),AND(H27=0,Results!J26=0)),1,0))</f>
        <v>1</v>
      </c>
      <c r="J27">
        <f>IF(K27="-",0,if(K27=Results!I26,3,0))</f>
        <v>0</v>
      </c>
      <c r="K27" t="str">
        <f t="shared" si="2"/>
        <v>2-0</v>
      </c>
      <c r="L27">
        <f t="shared" si="3"/>
        <v>1</v>
      </c>
    </row>
    <row r="28">
      <c r="A28">
        <f>Results!A27</f>
        <v>5</v>
      </c>
      <c r="B28" s="14">
        <f>Results!B27</f>
        <v>46191</v>
      </c>
      <c r="C28" s="15">
        <f>Results!C27</f>
        <v>0.9583333333</v>
      </c>
      <c r="D28" t="str">
        <f>Results!E27</f>
        <v>Canada</v>
      </c>
      <c r="E28" s="9">
        <v>2.0</v>
      </c>
      <c r="F28" s="9">
        <v>1.0</v>
      </c>
      <c r="G28" t="str">
        <f>Results!H27</f>
        <v>Qatar</v>
      </c>
      <c r="H28">
        <f t="shared" si="1"/>
        <v>1</v>
      </c>
      <c r="I28">
        <f>if(Results!I27="-",0,IF(OR(AND(H28&gt;0,Results!J27&gt;0),AND(H28&lt;0,Results!J27&lt;0),AND(H28=0,Results!J27=0)),1,0))</f>
        <v>1</v>
      </c>
      <c r="J28">
        <f>IF(K28="-",0,if(K28=Results!I27,3,0))</f>
        <v>0</v>
      </c>
      <c r="K28" t="str">
        <f t="shared" si="2"/>
        <v>2-1</v>
      </c>
      <c r="L28">
        <f t="shared" si="3"/>
        <v>1</v>
      </c>
    </row>
    <row r="29">
      <c r="A29">
        <f>Results!A28</f>
        <v>6</v>
      </c>
      <c r="B29" s="14">
        <f>Results!B28</f>
        <v>46192</v>
      </c>
      <c r="C29" s="15">
        <f>Results!C28</f>
        <v>0.08333333333</v>
      </c>
      <c r="D29" t="str">
        <f>Results!E28</f>
        <v>Mexico</v>
      </c>
      <c r="E29" s="9">
        <v>1.0</v>
      </c>
      <c r="F29" s="9">
        <v>1.0</v>
      </c>
      <c r="G29" t="str">
        <f>Results!H28</f>
        <v>South Korea</v>
      </c>
      <c r="H29">
        <f t="shared" si="1"/>
        <v>0</v>
      </c>
      <c r="I29">
        <f>if(Results!I28="-",0,IF(OR(AND(H29&gt;0,Results!J28&gt;0),AND(H29&lt;0,Results!J28&lt;0),AND(H29=0,Results!J28=0)),1,0))</f>
        <v>0</v>
      </c>
      <c r="J29">
        <f>IF(K29="-",0,if(K29=Results!I28,3,0))</f>
        <v>0</v>
      </c>
      <c r="K29" t="str">
        <f t="shared" si="2"/>
        <v>1-1</v>
      </c>
      <c r="L29">
        <f t="shared" si="3"/>
        <v>0</v>
      </c>
    </row>
    <row r="30">
      <c r="A30">
        <f>Results!A29</f>
        <v>6</v>
      </c>
      <c r="B30" s="14">
        <f>Results!B29</f>
        <v>46192</v>
      </c>
      <c r="C30" s="15">
        <f>Results!C29</f>
        <v>0.8333333333</v>
      </c>
      <c r="D30" t="str">
        <f>Results!E29</f>
        <v>USA</v>
      </c>
      <c r="E30" s="9">
        <v>2.0</v>
      </c>
      <c r="F30" s="9">
        <v>0.0</v>
      </c>
      <c r="G30" t="str">
        <f>Results!H29</f>
        <v>Australia</v>
      </c>
      <c r="H30">
        <f t="shared" si="1"/>
        <v>2</v>
      </c>
      <c r="I30">
        <f>if(Results!I29="-",0,IF(OR(AND(H30&gt;0,Results!J29&gt;0),AND(H30&lt;0,Results!J29&lt;0),AND(H30=0,Results!J29=0)),1,0))</f>
        <v>1</v>
      </c>
      <c r="J30">
        <f>IF(K30="-",0,if(K30=Results!I29,3,0))</f>
        <v>3</v>
      </c>
      <c r="K30" t="str">
        <f t="shared" si="2"/>
        <v>2-0</v>
      </c>
      <c r="L30">
        <f t="shared" si="3"/>
        <v>3</v>
      </c>
    </row>
    <row r="31">
      <c r="A31">
        <f>Results!A30</f>
        <v>6</v>
      </c>
      <c r="B31" s="14">
        <f>Results!B30</f>
        <v>46192</v>
      </c>
      <c r="C31" s="15">
        <f>Results!C30</f>
        <v>0.9583333333</v>
      </c>
      <c r="D31" t="str">
        <f>Results!E30</f>
        <v>Scotland</v>
      </c>
      <c r="E31" s="9">
        <v>0.0</v>
      </c>
      <c r="F31" s="9">
        <v>2.0</v>
      </c>
      <c r="G31" t="str">
        <f>Results!H30</f>
        <v>Morocco</v>
      </c>
      <c r="H31">
        <f t="shared" si="1"/>
        <v>-2</v>
      </c>
      <c r="I31">
        <f>if(Results!I30="-",0,IF(OR(AND(H31&gt;0,Results!J30&gt;0),AND(H31&lt;0,Results!J30&lt;0),AND(H31=0,Results!J30=0)),1,0))</f>
        <v>1</v>
      </c>
      <c r="J31">
        <f>IF(K31="-",0,if(K31=Results!I30,3,0))</f>
        <v>0</v>
      </c>
      <c r="K31" t="str">
        <f t="shared" si="2"/>
        <v>0-2</v>
      </c>
      <c r="L31">
        <f t="shared" si="3"/>
        <v>1</v>
      </c>
    </row>
    <row r="32">
      <c r="A32">
        <f>Results!A31</f>
        <v>7</v>
      </c>
      <c r="B32" s="14">
        <f>Results!B31</f>
        <v>46193</v>
      </c>
      <c r="C32" s="15">
        <f>Results!C31</f>
        <v>0.0625</v>
      </c>
      <c r="D32" t="str">
        <f>Results!E31</f>
        <v>Brazil</v>
      </c>
      <c r="E32" s="9">
        <v>4.0</v>
      </c>
      <c r="F32" s="9">
        <v>0.0</v>
      </c>
      <c r="G32" t="str">
        <f>Results!H31</f>
        <v>Haiti</v>
      </c>
      <c r="H32">
        <f t="shared" si="1"/>
        <v>4</v>
      </c>
      <c r="I32">
        <f>if(Results!I31="-",0,IF(OR(AND(H32&gt;0,Results!J31&gt;0),AND(H32&lt;0,Results!J31&lt;0),AND(H32=0,Results!J31=0)),1,0))</f>
        <v>1</v>
      </c>
      <c r="J32">
        <f>IF(K32="-",0,if(K32=Results!I31,3,0))</f>
        <v>0</v>
      </c>
      <c r="K32" t="str">
        <f t="shared" si="2"/>
        <v>4-0</v>
      </c>
      <c r="L32">
        <f t="shared" si="3"/>
        <v>1</v>
      </c>
    </row>
    <row r="33">
      <c r="A33">
        <f>Results!A32</f>
        <v>7</v>
      </c>
      <c r="B33" s="14">
        <f>Results!B32</f>
        <v>46193</v>
      </c>
      <c r="C33" s="15">
        <f>Results!C32</f>
        <v>0.1666666667</v>
      </c>
      <c r="D33" t="str">
        <f>Results!E32</f>
        <v>Turkey</v>
      </c>
      <c r="E33" s="9">
        <v>1.0</v>
      </c>
      <c r="F33" s="9">
        <v>1.0</v>
      </c>
      <c r="G33" t="str">
        <f>Results!H32</f>
        <v>Paraguay</v>
      </c>
      <c r="H33">
        <f t="shared" si="1"/>
        <v>0</v>
      </c>
      <c r="I33">
        <f>if(Results!I32="-",0,IF(OR(AND(H33&gt;0,Results!J32&gt;0),AND(H33&lt;0,Results!J32&lt;0),AND(H33=0,Results!J32=0)),1,0))</f>
        <v>0</v>
      </c>
      <c r="J33">
        <f>IF(K33="-",0,if(K33=Results!I32,3,0))</f>
        <v>0</v>
      </c>
      <c r="K33" t="str">
        <f t="shared" si="2"/>
        <v>1-1</v>
      </c>
      <c r="L33">
        <f t="shared" si="3"/>
        <v>0</v>
      </c>
    </row>
    <row r="34">
      <c r="A34">
        <f>Results!A33</f>
        <v>7</v>
      </c>
      <c r="B34" s="14">
        <f>Results!B33</f>
        <v>46193</v>
      </c>
      <c r="C34" s="15">
        <f>Results!C33</f>
        <v>0.75</v>
      </c>
      <c r="D34" t="str">
        <f>Results!E33</f>
        <v>Netherlands</v>
      </c>
      <c r="E34" s="9">
        <v>2.0</v>
      </c>
      <c r="F34" s="9">
        <v>1.0</v>
      </c>
      <c r="G34" t="str">
        <f>Results!H33</f>
        <v>Sweden</v>
      </c>
      <c r="H34">
        <f t="shared" si="1"/>
        <v>1</v>
      </c>
      <c r="I34">
        <f>if(Results!I33="-",0,IF(OR(AND(H34&gt;0,Results!J33&gt;0),AND(H34&lt;0,Results!J33&lt;0),AND(H34=0,Results!J33=0)),1,0))</f>
        <v>0</v>
      </c>
      <c r="J34">
        <f>IF(K34="-",0,if(K34=Results!I33,3,0))</f>
        <v>0</v>
      </c>
      <c r="K34" t="str">
        <f t="shared" si="2"/>
        <v>2-1</v>
      </c>
      <c r="L34">
        <f t="shared" si="3"/>
        <v>0</v>
      </c>
    </row>
    <row r="35">
      <c r="A35">
        <f>Results!A34</f>
        <v>7</v>
      </c>
      <c r="B35" s="14">
        <f>Results!B34</f>
        <v>46193</v>
      </c>
      <c r="C35" s="15">
        <f>Results!C34</f>
        <v>0.875</v>
      </c>
      <c r="D35" t="str">
        <f>Results!E34</f>
        <v>Germany</v>
      </c>
      <c r="E35" s="9">
        <v>2.0</v>
      </c>
      <c r="F35" s="9">
        <v>0.0</v>
      </c>
      <c r="G35" t="str">
        <f>Results!H34</f>
        <v>Ivory Coast</v>
      </c>
      <c r="H35">
        <f t="shared" si="1"/>
        <v>2</v>
      </c>
      <c r="I35">
        <f>if(Results!I34="-",0,IF(OR(AND(H35&gt;0,Results!J34&gt;0),AND(H35&lt;0,Results!J34&lt;0),AND(H35=0,Results!J34=0)),1,0))</f>
        <v>0</v>
      </c>
      <c r="J35">
        <f>IF(K35="-",0,if(K35=Results!I34,3,0))</f>
        <v>0</v>
      </c>
      <c r="K35" t="str">
        <f t="shared" si="2"/>
        <v>2-0</v>
      </c>
      <c r="L35">
        <f t="shared" si="3"/>
        <v>0</v>
      </c>
    </row>
    <row r="36">
      <c r="A36">
        <f>Results!A35</f>
        <v>1</v>
      </c>
      <c r="B36" s="14">
        <f>Results!B35</f>
        <v>46194</v>
      </c>
      <c r="C36" s="15">
        <f>Results!C35</f>
        <v>0.04166666667</v>
      </c>
      <c r="D36" t="str">
        <f>Results!E35</f>
        <v>Ecuador</v>
      </c>
      <c r="E36" s="9">
        <v>3.0</v>
      </c>
      <c r="F36" s="9">
        <v>0.0</v>
      </c>
      <c r="G36" t="str">
        <f>Results!H35</f>
        <v>Curaçao</v>
      </c>
      <c r="H36">
        <f t="shared" si="1"/>
        <v>3</v>
      </c>
      <c r="I36">
        <f>if(Results!I35="-",0,IF(OR(AND(H36&gt;0,Results!J35&gt;0),AND(H36&lt;0,Results!J35&lt;0),AND(H36=0,Results!J35=0)),1,0))</f>
        <v>0</v>
      </c>
      <c r="J36">
        <f>IF(K36="-",0,if(K36=Results!I35,3,0))</f>
        <v>0</v>
      </c>
      <c r="K36" t="str">
        <f t="shared" si="2"/>
        <v>3-0</v>
      </c>
      <c r="L36">
        <f t="shared" si="3"/>
        <v>0</v>
      </c>
    </row>
    <row r="37">
      <c r="A37">
        <f>Results!A36</f>
        <v>1</v>
      </c>
      <c r="B37" s="14">
        <f>Results!B36</f>
        <v>46194</v>
      </c>
      <c r="C37" s="15">
        <f>Results!C36</f>
        <v>0.2083333333</v>
      </c>
      <c r="D37" t="str">
        <f>Results!E36</f>
        <v>Tunisia</v>
      </c>
      <c r="E37" s="9">
        <v>0.0</v>
      </c>
      <c r="F37" s="9">
        <v>2.0</v>
      </c>
      <c r="G37" t="str">
        <f>Results!H36</f>
        <v>Japan</v>
      </c>
      <c r="H37">
        <f t="shared" si="1"/>
        <v>-2</v>
      </c>
      <c r="I37">
        <f>if(Results!I36="-",0,IF(OR(AND(H37&gt;0,Results!J36&gt;0),AND(H37&lt;0,Results!J36&lt;0),AND(H37=0,Results!J36=0)),1,0))</f>
        <v>0</v>
      </c>
      <c r="J37">
        <f>IF(K37="-",0,if(K37=Results!I36,3,0))</f>
        <v>0</v>
      </c>
      <c r="K37" t="str">
        <f t="shared" si="2"/>
        <v>0-2</v>
      </c>
      <c r="L37">
        <f t="shared" si="3"/>
        <v>0</v>
      </c>
    </row>
    <row r="38">
      <c r="A38">
        <f>Results!A37</f>
        <v>1</v>
      </c>
      <c r="B38" s="14">
        <f>Results!B37</f>
        <v>46194</v>
      </c>
      <c r="C38" s="15">
        <f>Results!C37</f>
        <v>0.7083333333</v>
      </c>
      <c r="D38" t="str">
        <f>Results!E37</f>
        <v>Spain</v>
      </c>
      <c r="E38" s="9">
        <v>3.0</v>
      </c>
      <c r="F38" s="9">
        <v>0.0</v>
      </c>
      <c r="G38" t="str">
        <f>Results!H37</f>
        <v>Saudi Arabia</v>
      </c>
      <c r="H38">
        <f t="shared" si="1"/>
        <v>3</v>
      </c>
      <c r="I38">
        <f>if(Results!I37="-",0,IF(OR(AND(H38&gt;0,Results!J37&gt;0),AND(H38&lt;0,Results!J37&lt;0),AND(H38=0,Results!J37=0)),1,0))</f>
        <v>0</v>
      </c>
      <c r="J38">
        <f>IF(K38="-",0,if(K38=Results!I37,3,0))</f>
        <v>0</v>
      </c>
      <c r="K38" t="str">
        <f t="shared" si="2"/>
        <v>3-0</v>
      </c>
      <c r="L38">
        <f t="shared" si="3"/>
        <v>0</v>
      </c>
    </row>
    <row r="39">
      <c r="A39">
        <f>Results!A38</f>
        <v>1</v>
      </c>
      <c r="B39" s="14">
        <f>Results!B38</f>
        <v>46194</v>
      </c>
      <c r="C39" s="15">
        <f>Results!C38</f>
        <v>0.8333333333</v>
      </c>
      <c r="D39" t="str">
        <f>Results!E38</f>
        <v>Belgium</v>
      </c>
      <c r="E39" s="9">
        <v>2.0</v>
      </c>
      <c r="F39" s="9">
        <v>1.0</v>
      </c>
      <c r="G39" t="str">
        <f>Results!H38</f>
        <v>Iran</v>
      </c>
      <c r="H39">
        <f t="shared" si="1"/>
        <v>1</v>
      </c>
      <c r="I39">
        <f>if(Results!I38="-",0,IF(OR(AND(H39&gt;0,Results!J38&gt;0),AND(H39&lt;0,Results!J38&lt;0),AND(H39=0,Results!J38=0)),1,0))</f>
        <v>0</v>
      </c>
      <c r="J39">
        <f>IF(K39="-",0,if(K39=Results!I38,3,0))</f>
        <v>0</v>
      </c>
      <c r="K39" t="str">
        <f t="shared" si="2"/>
        <v>2-1</v>
      </c>
      <c r="L39">
        <f t="shared" si="3"/>
        <v>0</v>
      </c>
    </row>
    <row r="40">
      <c r="A40">
        <f>Results!A39</f>
        <v>1</v>
      </c>
      <c r="B40" s="14">
        <f>Results!B39</f>
        <v>46194</v>
      </c>
      <c r="C40" s="15">
        <f>Results!C39</f>
        <v>0.9583333333</v>
      </c>
      <c r="D40" t="str">
        <f>Results!E39</f>
        <v>Uruguay</v>
      </c>
      <c r="E40" s="9">
        <v>2.0</v>
      </c>
      <c r="F40" s="9">
        <v>0.0</v>
      </c>
      <c r="G40" t="str">
        <f>Results!H39</f>
        <v>Cape Verde</v>
      </c>
      <c r="H40">
        <f t="shared" si="1"/>
        <v>2</v>
      </c>
      <c r="I40">
        <f>if(Results!I39="-",0,IF(OR(AND(H40&gt;0,Results!J39&gt;0),AND(H40&lt;0,Results!J39&lt;0),AND(H40=0,Results!J39=0)),1,0))</f>
        <v>0</v>
      </c>
      <c r="J40">
        <f>IF(K40="-",0,if(K40=Results!I39,3,0))</f>
        <v>0</v>
      </c>
      <c r="K40" t="str">
        <f t="shared" si="2"/>
        <v>2-0</v>
      </c>
      <c r="L40">
        <f t="shared" si="3"/>
        <v>0</v>
      </c>
    </row>
    <row r="41">
      <c r="A41">
        <f>Results!A40</f>
        <v>2</v>
      </c>
      <c r="B41" s="14">
        <f>Results!B40</f>
        <v>46195</v>
      </c>
      <c r="C41" s="15">
        <f>Results!C40</f>
        <v>0.08333333333</v>
      </c>
      <c r="D41" t="str">
        <f>Results!E40</f>
        <v>New Zealand</v>
      </c>
      <c r="E41" s="9">
        <v>0.0</v>
      </c>
      <c r="F41" s="9">
        <v>1.0</v>
      </c>
      <c r="G41" t="str">
        <f>Results!H40</f>
        <v>Egypt</v>
      </c>
      <c r="H41">
        <f t="shared" si="1"/>
        <v>-1</v>
      </c>
      <c r="I41">
        <f>if(Results!I40="-",0,IF(OR(AND(H41&gt;0,Results!J40&gt;0),AND(H41&lt;0,Results!J40&lt;0),AND(H41=0,Results!J40=0)),1,0))</f>
        <v>0</v>
      </c>
      <c r="J41">
        <f>IF(K41="-",0,if(K41=Results!I40,3,0))</f>
        <v>0</v>
      </c>
      <c r="K41" t="str">
        <f t="shared" si="2"/>
        <v>0-1</v>
      </c>
      <c r="L41">
        <f t="shared" si="3"/>
        <v>0</v>
      </c>
    </row>
    <row r="42">
      <c r="A42">
        <f>Results!A41</f>
        <v>2</v>
      </c>
      <c r="B42" s="14">
        <f>Results!B41</f>
        <v>46195</v>
      </c>
      <c r="C42" s="15">
        <f>Results!C41</f>
        <v>0.7916666667</v>
      </c>
      <c r="D42" t="str">
        <f>Results!E41</f>
        <v>Argentina</v>
      </c>
      <c r="G42" t="str">
        <f>Results!H41</f>
        <v>Austria</v>
      </c>
      <c r="H42">
        <f t="shared" si="1"/>
        <v>0</v>
      </c>
      <c r="I42">
        <f>if(Results!I41="-",0,IF(OR(AND(H42&gt;0,Results!J41&gt;0),AND(H42&lt;0,Results!J41&lt;0),AND(H42=0,Results!J41=0)),1,0))</f>
        <v>0</v>
      </c>
      <c r="J42">
        <f>IF(K42="-",0,if(K42=Results!I41,3,0))</f>
        <v>0</v>
      </c>
      <c r="K42" t="str">
        <f t="shared" si="2"/>
        <v>-</v>
      </c>
      <c r="L42">
        <f t="shared" si="3"/>
        <v>0</v>
      </c>
    </row>
    <row r="43">
      <c r="A43">
        <f>Results!A42</f>
        <v>2</v>
      </c>
      <c r="B43" s="14">
        <f>Results!B42</f>
        <v>46195</v>
      </c>
      <c r="C43" s="15">
        <f>Results!C42</f>
        <v>0.9583333333</v>
      </c>
      <c r="D43" t="str">
        <f>Results!E42</f>
        <v>France</v>
      </c>
      <c r="G43" t="str">
        <f>Results!H42</f>
        <v>Iraq</v>
      </c>
      <c r="H43">
        <f t="shared" si="1"/>
        <v>0</v>
      </c>
      <c r="I43">
        <f>if(Results!I42="-",0,IF(OR(AND(H43&gt;0,Results!J42&gt;0),AND(H43&lt;0,Results!J42&lt;0),AND(H43=0,Results!J42=0)),1,0))</f>
        <v>0</v>
      </c>
      <c r="J43">
        <f>IF(K43="-",0,if(K43=Results!I42,3,0))</f>
        <v>0</v>
      </c>
      <c r="K43" t="str">
        <f t="shared" si="2"/>
        <v>-</v>
      </c>
      <c r="L43">
        <f t="shared" si="3"/>
        <v>0</v>
      </c>
    </row>
    <row r="44">
      <c r="A44">
        <f>Results!A43</f>
        <v>3</v>
      </c>
      <c r="B44" s="14">
        <f>Results!B43</f>
        <v>46196</v>
      </c>
      <c r="C44" s="15">
        <f>Results!C43</f>
        <v>0.08333333333</v>
      </c>
      <c r="D44" t="str">
        <f>Results!E43</f>
        <v>Norway</v>
      </c>
      <c r="G44" t="str">
        <f>Results!H43</f>
        <v>Senegal</v>
      </c>
      <c r="H44">
        <f t="shared" si="1"/>
        <v>0</v>
      </c>
      <c r="I44">
        <f>if(Results!I43="-",0,IF(OR(AND(H44&gt;0,Results!J43&gt;0),AND(H44&lt;0,Results!J43&lt;0),AND(H44=0,Results!J43=0)),1,0))</f>
        <v>0</v>
      </c>
      <c r="J44">
        <f>IF(K44="-",0,if(K44=Results!I43,3,0))</f>
        <v>0</v>
      </c>
      <c r="K44" t="str">
        <f t="shared" si="2"/>
        <v>-</v>
      </c>
      <c r="L44">
        <f t="shared" si="3"/>
        <v>0</v>
      </c>
    </row>
    <row r="45">
      <c r="A45">
        <f>Results!A44</f>
        <v>3</v>
      </c>
      <c r="B45" s="14">
        <f>Results!B44</f>
        <v>46196</v>
      </c>
      <c r="C45" s="15">
        <f>Results!C44</f>
        <v>0.2083333333</v>
      </c>
      <c r="D45" t="str">
        <f>Results!E44</f>
        <v>Jordan</v>
      </c>
      <c r="G45" t="str">
        <f>Results!H44</f>
        <v>Algeria</v>
      </c>
      <c r="H45">
        <f t="shared" si="1"/>
        <v>0</v>
      </c>
      <c r="I45">
        <f>if(Results!I44="-",0,IF(OR(AND(H45&gt;0,Results!J44&gt;0),AND(H45&lt;0,Results!J44&lt;0),AND(H45=0,Results!J44=0)),1,0))</f>
        <v>0</v>
      </c>
      <c r="J45">
        <f>IF(K45="-",0,if(K45=Results!I44,3,0))</f>
        <v>0</v>
      </c>
      <c r="K45" t="str">
        <f t="shared" si="2"/>
        <v>-</v>
      </c>
      <c r="L45">
        <f t="shared" si="3"/>
        <v>0</v>
      </c>
    </row>
    <row r="46">
      <c r="A46">
        <f>Results!A45</f>
        <v>3</v>
      </c>
      <c r="B46" s="14">
        <f>Results!B45</f>
        <v>46196</v>
      </c>
      <c r="C46" s="15">
        <f>Results!C45</f>
        <v>0.7916666667</v>
      </c>
      <c r="D46" t="str">
        <f>Results!E45</f>
        <v>Portugal</v>
      </c>
      <c r="G46" t="str">
        <f>Results!H45</f>
        <v>Uzbekistan</v>
      </c>
      <c r="H46">
        <f t="shared" si="1"/>
        <v>0</v>
      </c>
      <c r="I46">
        <f>if(Results!I45="-",0,IF(OR(AND(H46&gt;0,Results!J45&gt;0),AND(H46&lt;0,Results!J45&lt;0),AND(H46=0,Results!J45=0)),1,0))</f>
        <v>0</v>
      </c>
      <c r="J46">
        <f>IF(K46="-",0,if(K46=Results!I45,3,0))</f>
        <v>0</v>
      </c>
      <c r="K46" t="str">
        <f t="shared" si="2"/>
        <v>-</v>
      </c>
      <c r="L46">
        <f t="shared" si="3"/>
        <v>0</v>
      </c>
    </row>
    <row r="47">
      <c r="A47">
        <f>Results!A46</f>
        <v>3</v>
      </c>
      <c r="B47" s="14">
        <f>Results!B46</f>
        <v>46196</v>
      </c>
      <c r="C47" s="15">
        <f>Results!C46</f>
        <v>0.9166666667</v>
      </c>
      <c r="D47" t="str">
        <f>Results!E46</f>
        <v>England</v>
      </c>
      <c r="G47" t="str">
        <f>Results!H46</f>
        <v>Ghana</v>
      </c>
      <c r="H47">
        <f t="shared" si="1"/>
        <v>0</v>
      </c>
      <c r="I47">
        <f>if(Results!I46="-",0,IF(OR(AND(H47&gt;0,Results!J46&gt;0),AND(H47&lt;0,Results!J46&lt;0),AND(H47=0,Results!J46=0)),1,0))</f>
        <v>0</v>
      </c>
      <c r="J47">
        <f>IF(K47="-",0,if(K47=Results!I46,3,0))</f>
        <v>0</v>
      </c>
      <c r="K47" t="str">
        <f t="shared" si="2"/>
        <v>-</v>
      </c>
      <c r="L47">
        <f t="shared" si="3"/>
        <v>0</v>
      </c>
    </row>
    <row r="48">
      <c r="A48">
        <f>Results!A47</f>
        <v>4</v>
      </c>
      <c r="B48" s="14">
        <f>Results!B47</f>
        <v>46197</v>
      </c>
      <c r="C48" s="15">
        <f>Results!C47</f>
        <v>0.04166666667</v>
      </c>
      <c r="D48" t="str">
        <f>Results!E47</f>
        <v>Panama</v>
      </c>
      <c r="G48" t="str">
        <f>Results!H47</f>
        <v>Croatia</v>
      </c>
      <c r="H48">
        <f t="shared" si="1"/>
        <v>0</v>
      </c>
      <c r="I48">
        <f>if(Results!I47="-",0,IF(OR(AND(H48&gt;0,Results!J47&gt;0),AND(H48&lt;0,Results!J47&lt;0),AND(H48=0,Results!J47=0)),1,0))</f>
        <v>0</v>
      </c>
      <c r="J48">
        <f>IF(K48="-",0,if(K48=Results!I47,3,0))</f>
        <v>0</v>
      </c>
      <c r="K48" t="str">
        <f t="shared" si="2"/>
        <v>-</v>
      </c>
      <c r="L48">
        <f t="shared" si="3"/>
        <v>0</v>
      </c>
    </row>
    <row r="49">
      <c r="A49">
        <f>Results!A48</f>
        <v>4</v>
      </c>
      <c r="B49" s="14">
        <f>Results!B48</f>
        <v>46197</v>
      </c>
      <c r="C49" s="15">
        <f>Results!C48</f>
        <v>0.1666666667</v>
      </c>
      <c r="D49" t="str">
        <f>Results!E48</f>
        <v>Colombia</v>
      </c>
      <c r="G49" t="str">
        <f>Results!H48</f>
        <v>DR Congo</v>
      </c>
      <c r="H49">
        <f t="shared" si="1"/>
        <v>0</v>
      </c>
      <c r="I49">
        <f>if(Results!I48="-",0,IF(OR(AND(H49&gt;0,Results!J48&gt;0),AND(H49&lt;0,Results!J48&lt;0),AND(H49=0,Results!J48=0)),1,0))</f>
        <v>0</v>
      </c>
      <c r="J49">
        <f>IF(K49="-",0,if(K49=Results!I48,3,0))</f>
        <v>0</v>
      </c>
      <c r="K49" t="str">
        <f t="shared" si="2"/>
        <v>-</v>
      </c>
      <c r="L49">
        <f t="shared" si="3"/>
        <v>0</v>
      </c>
    </row>
    <row r="50">
      <c r="A50">
        <f>Results!A49</f>
        <v>4</v>
      </c>
      <c r="B50" s="14">
        <f>Results!B49</f>
        <v>46197</v>
      </c>
      <c r="C50" s="15">
        <f>Results!C49</f>
        <v>0.75</v>
      </c>
      <c r="D50" t="str">
        <f>Results!E49</f>
        <v>Morocco</v>
      </c>
      <c r="G50" t="str">
        <f>Results!H49</f>
        <v>Haiti</v>
      </c>
      <c r="H50">
        <f t="shared" si="1"/>
        <v>0</v>
      </c>
      <c r="I50">
        <f>if(Results!I49="-",0,IF(OR(AND(H50&gt;0,Results!J49&gt;0),AND(H50&lt;0,Results!J49&lt;0),AND(H50=0,Results!J49=0)),1,0))</f>
        <v>0</v>
      </c>
      <c r="J50">
        <f>IF(K50="-",0,if(K50=Results!I49,3,0))</f>
        <v>0</v>
      </c>
      <c r="K50" t="str">
        <f t="shared" si="2"/>
        <v>-</v>
      </c>
      <c r="L50">
        <f t="shared" si="3"/>
        <v>0</v>
      </c>
    </row>
    <row r="51">
      <c r="A51">
        <f>Results!A50</f>
        <v>4</v>
      </c>
      <c r="B51" s="14">
        <f>Results!B50</f>
        <v>46197</v>
      </c>
      <c r="C51" s="15">
        <f>Results!C50</f>
        <v>0.75</v>
      </c>
      <c r="D51" t="str">
        <f>Results!E50</f>
        <v>Scotland</v>
      </c>
      <c r="G51" t="str">
        <f>Results!H50</f>
        <v>Brazil</v>
      </c>
      <c r="H51">
        <f t="shared" si="1"/>
        <v>0</v>
      </c>
      <c r="I51">
        <f>if(Results!I50="-",0,IF(OR(AND(H51&gt;0,Results!J50&gt;0),AND(H51&lt;0,Results!J50&lt;0),AND(H51=0,Results!J50=0)),1,0))</f>
        <v>0</v>
      </c>
      <c r="J51">
        <f>IF(K51="-",0,if(K51=Results!I50,3,0))</f>
        <v>0</v>
      </c>
      <c r="K51" t="str">
        <f t="shared" si="2"/>
        <v>-</v>
      </c>
      <c r="L51">
        <f t="shared" si="3"/>
        <v>0</v>
      </c>
    </row>
    <row r="52">
      <c r="A52">
        <f>Results!A51</f>
        <v>4</v>
      </c>
      <c r="B52" s="14">
        <f>Results!B51</f>
        <v>46197</v>
      </c>
      <c r="C52" s="15">
        <f>Results!C51</f>
        <v>0.875</v>
      </c>
      <c r="D52" t="str">
        <f>Results!E51</f>
        <v>Canada</v>
      </c>
      <c r="G52" t="str">
        <f>Results!H51</f>
        <v>Switzerland</v>
      </c>
      <c r="H52">
        <f t="shared" si="1"/>
        <v>0</v>
      </c>
      <c r="I52">
        <f>if(Results!I51="-",0,IF(OR(AND(H52&gt;0,Results!J51&gt;0),AND(H52&lt;0,Results!J51&lt;0),AND(H52=0,Results!J51=0)),1,0))</f>
        <v>0</v>
      </c>
      <c r="J52">
        <f>IF(K52="-",0,if(K52=Results!I51,3,0))</f>
        <v>0</v>
      </c>
      <c r="K52" t="str">
        <f t="shared" si="2"/>
        <v>-</v>
      </c>
      <c r="L52">
        <f t="shared" si="3"/>
        <v>0</v>
      </c>
    </row>
    <row r="53">
      <c r="A53">
        <f>Results!A52</f>
        <v>4</v>
      </c>
      <c r="B53" s="14">
        <f>Results!B52</f>
        <v>46197</v>
      </c>
      <c r="C53" s="15">
        <f>Results!C52</f>
        <v>0.875</v>
      </c>
      <c r="D53" t="str">
        <f>Results!E52</f>
        <v>Bosnia and Herzegovina</v>
      </c>
      <c r="G53" t="str">
        <f>Results!H52</f>
        <v>Qatar</v>
      </c>
      <c r="H53">
        <f t="shared" si="1"/>
        <v>0</v>
      </c>
      <c r="I53">
        <f>if(Results!I52="-",0,IF(OR(AND(H53&gt;0,Results!J52&gt;0),AND(H53&lt;0,Results!J52&lt;0),AND(H53=0,Results!J52=0)),1,0))</f>
        <v>0</v>
      </c>
      <c r="J53">
        <f>IF(K53="-",0,if(K53=Results!I52,3,0))</f>
        <v>0</v>
      </c>
      <c r="K53" t="str">
        <f t="shared" si="2"/>
        <v>-</v>
      </c>
      <c r="L53">
        <f t="shared" si="3"/>
        <v>0</v>
      </c>
    </row>
    <row r="54">
      <c r="A54">
        <f>Results!A53</f>
        <v>5</v>
      </c>
      <c r="B54" s="14">
        <f>Results!B53</f>
        <v>46198</v>
      </c>
      <c r="C54" s="15">
        <f>Results!C53</f>
        <v>0.08333333333</v>
      </c>
      <c r="D54" t="str">
        <f>Results!E53</f>
        <v>Mexico</v>
      </c>
      <c r="G54" t="str">
        <f>Results!H53</f>
        <v>Czechia</v>
      </c>
      <c r="H54">
        <f t="shared" si="1"/>
        <v>0</v>
      </c>
      <c r="I54">
        <f>if(Results!I53="-",0,IF(OR(AND(H54&gt;0,Results!J53&gt;0),AND(H54&lt;0,Results!J53&lt;0),AND(H54=0,Results!J53=0)),1,0))</f>
        <v>0</v>
      </c>
      <c r="J54">
        <f>IF(K54="-",0,if(K54=Results!I53,3,0))</f>
        <v>0</v>
      </c>
      <c r="K54" t="str">
        <f t="shared" si="2"/>
        <v>-</v>
      </c>
      <c r="L54">
        <f t="shared" si="3"/>
        <v>0</v>
      </c>
    </row>
    <row r="55">
      <c r="A55">
        <f>Results!A54</f>
        <v>5</v>
      </c>
      <c r="B55" s="14">
        <f>Results!B54</f>
        <v>46198</v>
      </c>
      <c r="C55" s="15">
        <f>Results!C54</f>
        <v>0.08333333333</v>
      </c>
      <c r="D55" t="str">
        <f>Results!E54</f>
        <v>South Korea</v>
      </c>
      <c r="G55" t="str">
        <f>Results!H54</f>
        <v>South Africa</v>
      </c>
      <c r="H55">
        <f t="shared" si="1"/>
        <v>0</v>
      </c>
      <c r="I55">
        <f>if(Results!I54="-",0,IF(OR(AND(H55&gt;0,Results!J54&gt;0),AND(H55&lt;0,Results!J54&lt;0),AND(H55=0,Results!J54=0)),1,0))</f>
        <v>0</v>
      </c>
      <c r="J55">
        <f>IF(K55="-",0,if(K55=Results!I54,3,0))</f>
        <v>0</v>
      </c>
      <c r="K55" t="str">
        <f t="shared" si="2"/>
        <v>-</v>
      </c>
      <c r="L55">
        <f t="shared" si="3"/>
        <v>0</v>
      </c>
    </row>
    <row r="56">
      <c r="A56">
        <f>Results!A55</f>
        <v>5</v>
      </c>
      <c r="B56" s="14">
        <f>Results!B55</f>
        <v>46198</v>
      </c>
      <c r="C56" s="15">
        <f>Results!C55</f>
        <v>0.75</v>
      </c>
      <c r="D56" t="str">
        <f>Results!E55</f>
        <v>Ecuador</v>
      </c>
      <c r="G56" t="str">
        <f>Results!H55</f>
        <v>Germany</v>
      </c>
      <c r="H56">
        <f t="shared" si="1"/>
        <v>0</v>
      </c>
      <c r="I56">
        <f>if(Results!I55="-",0,IF(OR(AND(H56&gt;0,Results!J55&gt;0),AND(H56&lt;0,Results!J55&lt;0),AND(H56=0,Results!J55=0)),1,0))</f>
        <v>0</v>
      </c>
      <c r="J56">
        <f>IF(K56="-",0,if(K56=Results!I55,3,0))</f>
        <v>0</v>
      </c>
      <c r="K56" t="str">
        <f t="shared" si="2"/>
        <v>-</v>
      </c>
      <c r="L56">
        <f t="shared" si="3"/>
        <v>0</v>
      </c>
    </row>
    <row r="57">
      <c r="A57">
        <f>Results!A56</f>
        <v>5</v>
      </c>
      <c r="B57" s="14">
        <f>Results!B56</f>
        <v>46198</v>
      </c>
      <c r="C57" s="15">
        <f>Results!C56</f>
        <v>0.75</v>
      </c>
      <c r="D57" t="str">
        <f>Results!E56</f>
        <v>Curaçao</v>
      </c>
      <c r="G57" t="str">
        <f>Results!H56</f>
        <v>Ivory Coast</v>
      </c>
      <c r="H57">
        <f t="shared" si="1"/>
        <v>0</v>
      </c>
      <c r="I57">
        <f>if(Results!I56="-",0,IF(OR(AND(H57&gt;0,Results!J56&gt;0),AND(H57&lt;0,Results!J56&lt;0),AND(H57=0,Results!J56=0)),1,0))</f>
        <v>0</v>
      </c>
      <c r="J57">
        <f>IF(K57="-",0,if(K57=Results!I56,3,0))</f>
        <v>0</v>
      </c>
      <c r="K57" t="str">
        <f t="shared" si="2"/>
        <v>-</v>
      </c>
      <c r="L57">
        <f t="shared" si="3"/>
        <v>0</v>
      </c>
    </row>
    <row r="58">
      <c r="A58">
        <f>Results!A57</f>
        <v>5</v>
      </c>
      <c r="B58" s="14">
        <f>Results!B57</f>
        <v>46198</v>
      </c>
      <c r="C58" s="15">
        <f>Results!C57</f>
        <v>0.875</v>
      </c>
      <c r="D58" t="str">
        <f>Results!E57</f>
        <v>Tunisia</v>
      </c>
      <c r="G58" t="str">
        <f>Results!H57</f>
        <v>Netherlands</v>
      </c>
      <c r="H58">
        <f t="shared" si="1"/>
        <v>0</v>
      </c>
      <c r="I58">
        <f>if(Results!I57="-",0,IF(OR(AND(H58&gt;0,Results!J57&gt;0),AND(H58&lt;0,Results!J57&lt;0),AND(H58=0,Results!J57=0)),1,0))</f>
        <v>0</v>
      </c>
      <c r="J58">
        <f>IF(K58="-",0,if(K58=Results!I57,3,0))</f>
        <v>0</v>
      </c>
      <c r="K58" t="str">
        <f t="shared" si="2"/>
        <v>-</v>
      </c>
      <c r="L58">
        <f t="shared" si="3"/>
        <v>0</v>
      </c>
    </row>
    <row r="59">
      <c r="A59">
        <f>Results!A58</f>
        <v>5</v>
      </c>
      <c r="B59" s="14">
        <f>Results!B58</f>
        <v>46198</v>
      </c>
      <c r="C59" s="15">
        <f>Results!C58</f>
        <v>0.875</v>
      </c>
      <c r="D59" t="str">
        <f>Results!E58</f>
        <v>Japan</v>
      </c>
      <c r="G59" t="str">
        <f>Results!H58</f>
        <v>Sweden</v>
      </c>
      <c r="H59">
        <f t="shared" si="1"/>
        <v>0</v>
      </c>
      <c r="I59">
        <f>if(Results!I58="-",0,IF(OR(AND(H59&gt;0,Results!J58&gt;0),AND(H59&lt;0,Results!J58&lt;0),AND(H59=0,Results!J58=0)),1,0))</f>
        <v>0</v>
      </c>
      <c r="J59">
        <f>IF(K59="-",0,if(K59=Results!I58,3,0))</f>
        <v>0</v>
      </c>
      <c r="K59" t="str">
        <f t="shared" si="2"/>
        <v>-</v>
      </c>
      <c r="L59">
        <f t="shared" si="3"/>
        <v>0</v>
      </c>
    </row>
    <row r="60">
      <c r="A60">
        <f>Results!A59</f>
        <v>6</v>
      </c>
      <c r="B60" s="14">
        <f>Results!B59</f>
        <v>46199</v>
      </c>
      <c r="C60" s="15">
        <f>Results!C59</f>
        <v>0.04166666667</v>
      </c>
      <c r="D60" t="str">
        <f>Results!E59</f>
        <v>USA</v>
      </c>
      <c r="G60" t="str">
        <f>Results!H59</f>
        <v>Türkiye</v>
      </c>
      <c r="H60">
        <f t="shared" si="1"/>
        <v>0</v>
      </c>
      <c r="I60">
        <f>if(Results!I59="-",0,IF(OR(AND(H60&gt;0,Results!J59&gt;0),AND(H60&lt;0,Results!J59&lt;0),AND(H60=0,Results!J59=0)),1,0))</f>
        <v>0</v>
      </c>
      <c r="J60">
        <f>IF(K60="-",0,if(K60=Results!I59,3,0))</f>
        <v>0</v>
      </c>
      <c r="K60" t="str">
        <f t="shared" si="2"/>
        <v>-</v>
      </c>
      <c r="L60">
        <f t="shared" si="3"/>
        <v>0</v>
      </c>
    </row>
    <row r="61">
      <c r="A61">
        <f>Results!A60</f>
        <v>6</v>
      </c>
      <c r="B61" s="14">
        <f>Results!B60</f>
        <v>46199</v>
      </c>
      <c r="C61" s="15">
        <f>Results!C60</f>
        <v>0.04166666667</v>
      </c>
      <c r="D61" t="str">
        <f>Results!E60</f>
        <v>Paraguay</v>
      </c>
      <c r="G61" t="str">
        <f>Results!H60</f>
        <v>Australia</v>
      </c>
      <c r="H61">
        <f t="shared" si="1"/>
        <v>0</v>
      </c>
      <c r="I61">
        <f>if(Results!I60="-",0,IF(OR(AND(H61&gt;0,Results!J60&gt;0),AND(H61&lt;0,Results!J60&lt;0),AND(H61=0,Results!J60=0)),1,0))</f>
        <v>0</v>
      </c>
      <c r="J61">
        <f>IF(K61="-",0,if(K61=Results!I60,3,0))</f>
        <v>0</v>
      </c>
      <c r="K61" t="str">
        <f t="shared" si="2"/>
        <v>-</v>
      </c>
      <c r="L61">
        <f t="shared" si="3"/>
        <v>0</v>
      </c>
    </row>
    <row r="62">
      <c r="A62">
        <f>Results!A61</f>
        <v>6</v>
      </c>
      <c r="B62" s="14">
        <f>Results!B61</f>
        <v>46199</v>
      </c>
      <c r="C62" s="15">
        <f>Results!C61</f>
        <v>0.75</v>
      </c>
      <c r="D62" t="str">
        <f>Results!E61</f>
        <v>Belgium</v>
      </c>
      <c r="G62" t="str">
        <f>Results!H61</f>
        <v>New Zealand</v>
      </c>
      <c r="H62">
        <f t="shared" si="1"/>
        <v>0</v>
      </c>
      <c r="I62">
        <f>if(Results!I61="-",0,IF(OR(AND(H62&gt;0,Results!J61&gt;0),AND(H62&lt;0,Results!J61&lt;0),AND(H62=0,Results!J61=0)),1,0))</f>
        <v>0</v>
      </c>
      <c r="J62">
        <f>IF(K62="-",0,if(K62=Results!I61,3,0))</f>
        <v>0</v>
      </c>
      <c r="K62" t="str">
        <f t="shared" si="2"/>
        <v>-</v>
      </c>
      <c r="L62">
        <f t="shared" si="3"/>
        <v>0</v>
      </c>
    </row>
    <row r="63">
      <c r="A63">
        <f>Results!A62</f>
        <v>6</v>
      </c>
      <c r="B63" s="14">
        <f>Results!B62</f>
        <v>46199</v>
      </c>
      <c r="C63" s="15">
        <f>Results!C62</f>
        <v>0.75</v>
      </c>
      <c r="D63" t="str">
        <f>Results!E62</f>
        <v>Egypt</v>
      </c>
      <c r="G63" t="str">
        <f>Results!H62</f>
        <v>Iran</v>
      </c>
      <c r="H63">
        <f t="shared" si="1"/>
        <v>0</v>
      </c>
      <c r="I63">
        <f>if(Results!I62="-",0,IF(OR(AND(H63&gt;0,Results!J62&gt;0),AND(H63&lt;0,Results!J62&lt;0),AND(H63=0,Results!J62=0)),1,0))</f>
        <v>0</v>
      </c>
      <c r="J63">
        <f>IF(K63="-",0,if(K63=Results!I62,3,0))</f>
        <v>0</v>
      </c>
      <c r="K63" t="str">
        <f t="shared" si="2"/>
        <v>-</v>
      </c>
      <c r="L63">
        <f t="shared" si="3"/>
        <v>0</v>
      </c>
    </row>
    <row r="64">
      <c r="A64">
        <f>Results!A63</f>
        <v>6</v>
      </c>
      <c r="B64" s="14">
        <f>Results!B63</f>
        <v>46199</v>
      </c>
      <c r="C64" s="15">
        <f>Results!C63</f>
        <v>0.875</v>
      </c>
      <c r="D64" t="str">
        <f>Results!E63</f>
        <v>Spain</v>
      </c>
      <c r="G64" t="str">
        <f>Results!H63</f>
        <v>Uruguay</v>
      </c>
      <c r="H64">
        <f t="shared" si="1"/>
        <v>0</v>
      </c>
      <c r="I64">
        <f>if(Results!I63="-",0,IF(OR(AND(H64&gt;0,Results!J63&gt;0),AND(H64&lt;0,Results!J63&lt;0),AND(H64=0,Results!J63=0)),1,0))</f>
        <v>0</v>
      </c>
      <c r="J64">
        <f>IF(K64="-",0,if(K64=Results!I63,3,0))</f>
        <v>0</v>
      </c>
      <c r="K64" t="str">
        <f t="shared" si="2"/>
        <v>-</v>
      </c>
      <c r="L64">
        <f t="shared" si="3"/>
        <v>0</v>
      </c>
    </row>
    <row r="65">
      <c r="A65">
        <f>Results!A64</f>
        <v>6</v>
      </c>
      <c r="B65" s="14">
        <f>Results!B64</f>
        <v>46199</v>
      </c>
      <c r="C65" s="15">
        <f>Results!C64</f>
        <v>0.875</v>
      </c>
      <c r="D65" t="str">
        <f>Results!E64</f>
        <v>Cape Verde</v>
      </c>
      <c r="G65" t="str">
        <f>Results!H64</f>
        <v>Saudi Arabia</v>
      </c>
      <c r="H65">
        <f t="shared" si="1"/>
        <v>0</v>
      </c>
      <c r="I65">
        <f>if(Results!I64="-",0,IF(OR(AND(H65&gt;0,Results!J64&gt;0),AND(H65&lt;0,Results!J64&lt;0),AND(H65=0,Results!J64=0)),1,0))</f>
        <v>0</v>
      </c>
      <c r="J65">
        <f>IF(K65="-",0,if(K65=Results!I64,3,0))</f>
        <v>0</v>
      </c>
      <c r="K65" t="str">
        <f t="shared" si="2"/>
        <v>-</v>
      </c>
      <c r="L65">
        <f t="shared" si="3"/>
        <v>0</v>
      </c>
    </row>
    <row r="66">
      <c r="A66">
        <f>Results!A65</f>
        <v>7</v>
      </c>
      <c r="B66" s="14">
        <f>Results!B65</f>
        <v>46200</v>
      </c>
      <c r="C66" s="15">
        <f>Results!C65</f>
        <v>0.04166666667</v>
      </c>
      <c r="D66" t="str">
        <f>Results!E65</f>
        <v>France</v>
      </c>
      <c r="G66" t="str">
        <f>Results!H65</f>
        <v>Norway</v>
      </c>
      <c r="H66">
        <f t="shared" si="1"/>
        <v>0</v>
      </c>
      <c r="I66">
        <f>if(Results!I65="-",0,IF(OR(AND(H66&gt;0,Results!J65&gt;0),AND(H66&lt;0,Results!J65&lt;0),AND(H66=0,Results!J65=0)),1,0))</f>
        <v>0</v>
      </c>
      <c r="J66">
        <f>IF(K66="-",0,if(K66=Results!I65,3,0))</f>
        <v>0</v>
      </c>
      <c r="K66" t="str">
        <f t="shared" si="2"/>
        <v>-</v>
      </c>
      <c r="L66">
        <f t="shared" si="3"/>
        <v>0</v>
      </c>
    </row>
    <row r="67">
      <c r="A67">
        <f>Results!A66</f>
        <v>7</v>
      </c>
      <c r="B67" s="14">
        <f>Results!B66</f>
        <v>46200</v>
      </c>
      <c r="C67" s="15">
        <f>Results!C66</f>
        <v>0.04166666667</v>
      </c>
      <c r="D67" t="str">
        <f>Results!E66</f>
        <v>Senegal</v>
      </c>
      <c r="G67" t="str">
        <f>Results!H66</f>
        <v>Iraq</v>
      </c>
      <c r="H67">
        <f t="shared" si="1"/>
        <v>0</v>
      </c>
      <c r="I67">
        <f>if(Results!I66="-",0,IF(OR(AND(H67&gt;0,Results!J66&gt;0),AND(H67&lt;0,Results!J66&lt;0),AND(H67=0,Results!J66=0)),1,0))</f>
        <v>0</v>
      </c>
      <c r="J67">
        <f>IF(K67="-",0,if(K67=Results!I66,3,0))</f>
        <v>0</v>
      </c>
      <c r="K67" t="str">
        <f t="shared" si="2"/>
        <v>-</v>
      </c>
      <c r="L67">
        <f t="shared" si="3"/>
        <v>0</v>
      </c>
    </row>
    <row r="68">
      <c r="A68">
        <f>Results!A67</f>
        <v>7</v>
      </c>
      <c r="B68" s="14">
        <f>Results!B67</f>
        <v>46200</v>
      </c>
      <c r="C68" s="15">
        <f>Results!C67</f>
        <v>0.75</v>
      </c>
      <c r="D68" t="str">
        <f>Results!E67</f>
        <v>Jordan</v>
      </c>
      <c r="G68" t="str">
        <f>Results!H67</f>
        <v>Argentina</v>
      </c>
      <c r="H68">
        <f t="shared" si="1"/>
        <v>0</v>
      </c>
      <c r="I68">
        <f>if(Results!I67="-",0,IF(OR(AND(H68&gt;0,Results!J67&gt;0),AND(H68&lt;0,Results!J67&lt;0),AND(H68=0,Results!J67=0)),1,0))</f>
        <v>0</v>
      </c>
      <c r="J68">
        <f>IF(K68="-",0,if(K68=Results!I67,3,0))</f>
        <v>0</v>
      </c>
      <c r="K68" t="str">
        <f t="shared" si="2"/>
        <v>-</v>
      </c>
      <c r="L68">
        <f t="shared" si="3"/>
        <v>0</v>
      </c>
    </row>
    <row r="69">
      <c r="A69">
        <f>Results!A68</f>
        <v>7</v>
      </c>
      <c r="B69" s="14">
        <f>Results!B68</f>
        <v>46200</v>
      </c>
      <c r="C69" s="15">
        <f>Results!C68</f>
        <v>0.75</v>
      </c>
      <c r="D69" t="str">
        <f>Results!E68</f>
        <v>Algeria</v>
      </c>
      <c r="G69" t="str">
        <f>Results!H68</f>
        <v>Austria</v>
      </c>
      <c r="H69">
        <f t="shared" si="1"/>
        <v>0</v>
      </c>
      <c r="I69">
        <f>if(Results!I68="-",0,IF(OR(AND(H69&gt;0,Results!J68&gt;0),AND(H69&lt;0,Results!J68&lt;0),AND(H69=0,Results!J68=0)),1,0))</f>
        <v>0</v>
      </c>
      <c r="J69">
        <f>IF(K69="-",0,if(K69=Results!I68,3,0))</f>
        <v>0</v>
      </c>
      <c r="K69" t="str">
        <f t="shared" si="2"/>
        <v>-</v>
      </c>
      <c r="L69">
        <f t="shared" si="3"/>
        <v>0</v>
      </c>
    </row>
    <row r="70">
      <c r="A70">
        <f>Results!A69</f>
        <v>7</v>
      </c>
      <c r="B70" s="14">
        <f>Results!B69</f>
        <v>46200</v>
      </c>
      <c r="C70" s="15">
        <f>Results!C69</f>
        <v>0.875</v>
      </c>
      <c r="D70" t="str">
        <f>Results!E69</f>
        <v>Colombia</v>
      </c>
      <c r="G70" t="str">
        <f>Results!H69</f>
        <v>Portugal</v>
      </c>
      <c r="H70">
        <f t="shared" si="1"/>
        <v>0</v>
      </c>
      <c r="I70">
        <f>if(Results!I69="-",0,IF(OR(AND(H70&gt;0,Results!J69&gt;0),AND(H70&lt;0,Results!J69&lt;0),AND(H70=0,Results!J69=0)),1,0))</f>
        <v>0</v>
      </c>
      <c r="J70">
        <f>IF(K70="-",0,if(K70=Results!I69,3,0))</f>
        <v>0</v>
      </c>
      <c r="K70" t="str">
        <f t="shared" si="2"/>
        <v>-</v>
      </c>
      <c r="L70">
        <f t="shared" si="3"/>
        <v>0</v>
      </c>
    </row>
    <row r="71">
      <c r="A71">
        <f>Results!A70</f>
        <v>7</v>
      </c>
      <c r="B71" s="14">
        <f>Results!B70</f>
        <v>46200</v>
      </c>
      <c r="C71" s="15">
        <f>Results!C70</f>
        <v>0.875</v>
      </c>
      <c r="D71" t="str">
        <f>Results!E70</f>
        <v>Congo DR</v>
      </c>
      <c r="G71" t="str">
        <f>Results!H70</f>
        <v>Uzbekistan</v>
      </c>
      <c r="H71">
        <f t="shared" si="1"/>
        <v>0</v>
      </c>
      <c r="I71">
        <f>if(Results!I70="-",0,IF(OR(AND(H71&gt;0,Results!J70&gt;0),AND(H71&lt;0,Results!J70&lt;0),AND(H71=0,Results!J70=0)),1,0))</f>
        <v>0</v>
      </c>
      <c r="J71">
        <f>IF(K71="-",0,if(K71=Results!I70,3,0))</f>
        <v>0</v>
      </c>
      <c r="K71" t="str">
        <f t="shared" si="2"/>
        <v>-</v>
      </c>
      <c r="L71">
        <f t="shared" si="3"/>
        <v>0</v>
      </c>
    </row>
    <row r="72">
      <c r="A72">
        <f>Results!A71</f>
        <v>1</v>
      </c>
      <c r="B72" s="14">
        <f>Results!B71</f>
        <v>46201</v>
      </c>
      <c r="C72" s="15">
        <f>Results!C71</f>
        <v>0.04166666667</v>
      </c>
      <c r="D72" t="str">
        <f>Results!E71</f>
        <v>Panama</v>
      </c>
      <c r="G72" t="str">
        <f>Results!H71</f>
        <v>England</v>
      </c>
      <c r="H72">
        <f t="shared" si="1"/>
        <v>0</v>
      </c>
      <c r="I72">
        <f>if(Results!I71="-",0,IF(OR(AND(H72&gt;0,Results!J71&gt;0),AND(H72&lt;0,Results!J71&lt;0),AND(H72=0,Results!J71=0)),1,0))</f>
        <v>0</v>
      </c>
      <c r="J72">
        <f>IF(K72="-",0,if(K72=Results!I71,3,0))</f>
        <v>0</v>
      </c>
      <c r="K72" t="str">
        <f t="shared" si="2"/>
        <v>-</v>
      </c>
      <c r="L72">
        <f t="shared" si="3"/>
        <v>0</v>
      </c>
    </row>
    <row r="73">
      <c r="A73">
        <f>Results!A72</f>
        <v>1</v>
      </c>
      <c r="B73" s="14">
        <f>Results!B72</f>
        <v>46201</v>
      </c>
      <c r="C73" s="15">
        <f>Results!C72</f>
        <v>0.04166666667</v>
      </c>
      <c r="D73" t="str">
        <f>Results!E72</f>
        <v>Croatia</v>
      </c>
      <c r="G73" t="str">
        <f>Results!H72</f>
        <v>Ghana</v>
      </c>
      <c r="H73">
        <f t="shared" si="1"/>
        <v>0</v>
      </c>
      <c r="I73">
        <f>if(Results!I72="-",0,IF(OR(AND(H73&gt;0,Results!J72&gt;0),AND(H73&lt;0,Results!J72&lt;0),AND(H73=0,Results!J72=0)),1,0))</f>
        <v>0</v>
      </c>
      <c r="J73">
        <f>IF(K73="-",0,if(K73=Results!I72,3,0))</f>
        <v>0</v>
      </c>
      <c r="K73" t="str">
        <f t="shared" si="2"/>
        <v>-</v>
      </c>
      <c r="L73">
        <f t="shared" si="3"/>
        <v>0</v>
      </c>
    </row>
    <row r="74">
      <c r="A74">
        <f>Results!A73</f>
        <v>1</v>
      </c>
      <c r="B74" s="14">
        <f>Results!B73</f>
        <v>46201</v>
      </c>
      <c r="C74" s="15">
        <f>Results!C73</f>
        <v>0.75</v>
      </c>
      <c r="D74" t="str">
        <f>Results!E73</f>
        <v>Winner Group A</v>
      </c>
      <c r="G74" t="str">
        <f>Results!H73</f>
        <v>3rd Place Group C/D/E</v>
      </c>
      <c r="H74">
        <f t="shared" si="1"/>
        <v>0</v>
      </c>
      <c r="I74">
        <f>if(Results!I73="-",0,IF(OR(AND(H74&gt;0,Results!J73&gt;0),AND(H74&lt;0,Results!J73&lt;0),AND(H74=0,Results!J73=0)),1,0))</f>
        <v>0</v>
      </c>
      <c r="J74">
        <f>IF(K74="-",0,if(K74=Results!I73,3,0))</f>
        <v>0</v>
      </c>
      <c r="K74" t="str">
        <f t="shared" si="2"/>
        <v>-</v>
      </c>
      <c r="L74">
        <f t="shared" si="3"/>
        <v>0</v>
      </c>
    </row>
    <row r="75">
      <c r="A75">
        <f>Results!A74</f>
        <v>1</v>
      </c>
      <c r="B75" s="14">
        <f>Results!B74</f>
        <v>46201</v>
      </c>
      <c r="C75" s="15">
        <f>Results!C74</f>
        <v>0.8958333333</v>
      </c>
      <c r="D75" t="str">
        <f>Results!E74</f>
        <v>Runner-up Group A</v>
      </c>
      <c r="G75" t="str">
        <f>Results!H74</f>
        <v>Runner-up Group B</v>
      </c>
      <c r="H75">
        <f t="shared" si="1"/>
        <v>0</v>
      </c>
      <c r="I75">
        <f>if(Results!I74="-",0,IF(OR(AND(H75&gt;0,Results!J74&gt;0),AND(H75&lt;0,Results!J74&lt;0),AND(H75=0,Results!J74=0)),1,0))</f>
        <v>0</v>
      </c>
      <c r="J75">
        <f>IF(K75="-",0,if(K75=Results!I74,3,0))</f>
        <v>0</v>
      </c>
      <c r="K75" t="str">
        <f t="shared" si="2"/>
        <v>-</v>
      </c>
      <c r="L75">
        <f t="shared" si="3"/>
        <v>0</v>
      </c>
    </row>
    <row r="76">
      <c r="A76">
        <f>Results!A75</f>
        <v>2</v>
      </c>
      <c r="B76" s="14">
        <f>Results!B75</f>
        <v>46202</v>
      </c>
      <c r="C76" s="15">
        <f>Results!C75</f>
        <v>0.75</v>
      </c>
      <c r="D76" t="str">
        <f>Results!E75</f>
        <v>Winner Group C</v>
      </c>
      <c r="G76" t="str">
        <f>Results!H75</f>
        <v>Runner-up Group D</v>
      </c>
      <c r="H76">
        <f t="shared" si="1"/>
        <v>0</v>
      </c>
      <c r="I76">
        <f>if(Results!I75="-",0,IF(OR(AND(H76&gt;0,Results!J75&gt;0),AND(H76&lt;0,Results!J75&lt;0),AND(H76=0,Results!J75=0)),1,0))</f>
        <v>0</v>
      </c>
      <c r="J76">
        <f>IF(K76="-",0,if(K76=Results!I75,3,0))</f>
        <v>0</v>
      </c>
      <c r="K76" t="str">
        <f t="shared" si="2"/>
        <v>-</v>
      </c>
      <c r="L76">
        <f t="shared" si="3"/>
        <v>0</v>
      </c>
    </row>
    <row r="77">
      <c r="A77">
        <f>Results!A76</f>
        <v>2</v>
      </c>
      <c r="B77" s="14">
        <f>Results!B76</f>
        <v>46202</v>
      </c>
      <c r="C77" s="15">
        <f>Results!C76</f>
        <v>0.8958333333</v>
      </c>
      <c r="D77" t="str">
        <f>Results!E76</f>
        <v>Winner Group E</v>
      </c>
      <c r="G77" t="str">
        <f>Results!H76</f>
        <v>3rd Place Group A/B/C</v>
      </c>
      <c r="H77">
        <f t="shared" si="1"/>
        <v>0</v>
      </c>
      <c r="I77">
        <f>if(Results!I76="-",0,IF(OR(AND(H77&gt;0,Results!J76&gt;0),AND(H77&lt;0,Results!J76&lt;0),AND(H77=0,Results!J76=0)),1,0))</f>
        <v>0</v>
      </c>
      <c r="J77">
        <f>IF(K77="-",0,if(K77=Results!I76,3,0))</f>
        <v>0</v>
      </c>
      <c r="K77" t="str">
        <f t="shared" si="2"/>
        <v>-</v>
      </c>
      <c r="L77">
        <f t="shared" si="3"/>
        <v>0</v>
      </c>
    </row>
    <row r="78">
      <c r="A78">
        <f>Results!A77</f>
        <v>3</v>
      </c>
      <c r="B78" s="14">
        <f>Results!B77</f>
        <v>46203</v>
      </c>
      <c r="C78" s="15">
        <f>Results!C77</f>
        <v>0.75</v>
      </c>
      <c r="D78" t="str">
        <f>Results!E77</f>
        <v>Winner Group F</v>
      </c>
      <c r="G78" t="str">
        <f>Results!H77</f>
        <v>Runner-up Group C</v>
      </c>
      <c r="H78">
        <f t="shared" si="1"/>
        <v>0</v>
      </c>
      <c r="I78">
        <f>if(Results!I77="-",0,IF(OR(AND(H78&gt;0,Results!J77&gt;0),AND(H78&lt;0,Results!J77&lt;0),AND(H78=0,Results!J77=0)),1,0))</f>
        <v>0</v>
      </c>
      <c r="J78">
        <f>IF(K78="-",0,if(K78=Results!I77,3,0))</f>
        <v>0</v>
      </c>
      <c r="K78" t="str">
        <f t="shared" si="2"/>
        <v>-</v>
      </c>
      <c r="L78">
        <f t="shared" si="3"/>
        <v>0</v>
      </c>
    </row>
    <row r="79">
      <c r="A79">
        <f>Results!A78</f>
        <v>3</v>
      </c>
      <c r="B79" s="14">
        <f>Results!B78</f>
        <v>46203</v>
      </c>
      <c r="C79" s="15">
        <f>Results!C78</f>
        <v>0.9166666667</v>
      </c>
      <c r="D79" t="str">
        <f>Results!E78</f>
        <v>Winner Group B</v>
      </c>
      <c r="G79" t="str">
        <f>Results!H78</f>
        <v>3rd Place Group E/F/G</v>
      </c>
      <c r="H79">
        <f t="shared" si="1"/>
        <v>0</v>
      </c>
      <c r="I79">
        <f>if(Results!I78="-",0,IF(OR(AND(H79&gt;0,Results!J78&gt;0),AND(H79&lt;0,Results!J78&lt;0),AND(H79=0,Results!J78=0)),1,0))</f>
        <v>0</v>
      </c>
      <c r="J79">
        <f>IF(K79="-",0,if(K79=Results!I78,3,0))</f>
        <v>0</v>
      </c>
      <c r="K79" t="str">
        <f t="shared" si="2"/>
        <v>-</v>
      </c>
      <c r="L79">
        <f t="shared" si="3"/>
        <v>0</v>
      </c>
    </row>
    <row r="80">
      <c r="A80">
        <f>Results!A79</f>
        <v>4</v>
      </c>
      <c r="B80" s="16">
        <f>Results!B79</f>
        <v>46204</v>
      </c>
      <c r="C80" s="15">
        <f>Results!C79</f>
        <v>0.04166666667</v>
      </c>
      <c r="D80" t="str">
        <f>Results!E79</f>
        <v>Winner Group G</v>
      </c>
      <c r="G80" t="str">
        <f>Results!H79</f>
        <v>Runner-up Group H</v>
      </c>
      <c r="H80">
        <f t="shared" si="1"/>
        <v>0</v>
      </c>
      <c r="I80">
        <f>if(Results!I79="-",0,IF(OR(AND(H80&gt;0,Results!J79&gt;0),AND(H80&lt;0,Results!J79&lt;0),AND(H80=0,Results!J79=0)),1,0))</f>
        <v>0</v>
      </c>
      <c r="J80">
        <f>IF(K80="-",0,if(K80=Results!I79,3,0))</f>
        <v>0</v>
      </c>
      <c r="K80" t="str">
        <f t="shared" si="2"/>
        <v>-</v>
      </c>
      <c r="L80">
        <f t="shared" si="3"/>
        <v>0</v>
      </c>
    </row>
    <row r="81">
      <c r="A81">
        <f>Results!A80</f>
        <v>4</v>
      </c>
      <c r="B81" s="16">
        <f>Results!B80</f>
        <v>46204</v>
      </c>
      <c r="C81" s="15">
        <f>Results!C80</f>
        <v>0.75</v>
      </c>
      <c r="D81" t="str">
        <f>Results!E80</f>
        <v>Winner Group D</v>
      </c>
      <c r="G81" t="str">
        <f>Results!H80</f>
        <v>3rd Place Group I/J/K</v>
      </c>
      <c r="H81">
        <f t="shared" si="1"/>
        <v>0</v>
      </c>
      <c r="I81">
        <f>if(Results!I80="-",0,IF(OR(AND(H81&gt;0,Results!J80&gt;0),AND(H81&lt;0,Results!J80&lt;0),AND(H81=0,Results!J80=0)),1,0))</f>
        <v>0</v>
      </c>
      <c r="J81">
        <f>IF(K81="-",0,if(K81=Results!I80,3,0))</f>
        <v>0</v>
      </c>
      <c r="K81" t="str">
        <f t="shared" si="2"/>
        <v>-</v>
      </c>
      <c r="L81">
        <f t="shared" si="3"/>
        <v>0</v>
      </c>
    </row>
    <row r="82">
      <c r="A82">
        <f>Results!A81</f>
        <v>4</v>
      </c>
      <c r="B82" s="16">
        <f>Results!B81</f>
        <v>46204</v>
      </c>
      <c r="C82" s="15">
        <f>Results!C81</f>
        <v>0.875</v>
      </c>
      <c r="D82" t="str">
        <f>Results!E81</f>
        <v>Winner Group H</v>
      </c>
      <c r="G82" t="str">
        <f>Results!H81</f>
        <v>Runner-up Group G</v>
      </c>
      <c r="H82">
        <f t="shared" si="1"/>
        <v>0</v>
      </c>
      <c r="I82">
        <f>if(Results!I81="-",0,IF(OR(AND(H82&gt;0,Results!J81&gt;0),AND(H82&lt;0,Results!J81&lt;0),AND(H82=0,Results!J81=0)),1,0))</f>
        <v>0</v>
      </c>
      <c r="J82">
        <f>IF(K82="-",0,if(K82=Results!I81,3,0))</f>
        <v>0</v>
      </c>
      <c r="K82" t="str">
        <f t="shared" si="2"/>
        <v>-</v>
      </c>
      <c r="L82">
        <f t="shared" si="3"/>
        <v>0</v>
      </c>
    </row>
    <row r="83">
      <c r="A83">
        <f>Results!A82</f>
        <v>5</v>
      </c>
      <c r="B83" s="16">
        <f>Results!B82</f>
        <v>46205</v>
      </c>
      <c r="C83" s="15">
        <f>Results!C82</f>
        <v>0.04166666667</v>
      </c>
      <c r="D83" t="str">
        <f>Results!E82</f>
        <v>Winner Group I</v>
      </c>
      <c r="G83" t="str">
        <f>Results!H82</f>
        <v>3rd Place Group B/C/F</v>
      </c>
      <c r="H83">
        <f t="shared" si="1"/>
        <v>0</v>
      </c>
      <c r="I83">
        <f>if(Results!I82="-",0,IF(OR(AND(H83&gt;0,Results!J82&gt;0),AND(H83&lt;0,Results!J82&lt;0),AND(H83=0,Results!J82=0)),1,0))</f>
        <v>0</v>
      </c>
      <c r="J83">
        <f>IF(K83="-",0,if(K83=Results!I82,3,0))</f>
        <v>0</v>
      </c>
      <c r="K83" t="str">
        <f t="shared" si="2"/>
        <v>-</v>
      </c>
      <c r="L83">
        <f t="shared" si="3"/>
        <v>0</v>
      </c>
    </row>
    <row r="84">
      <c r="A84">
        <f>Results!A83</f>
        <v>5</v>
      </c>
      <c r="B84" s="16">
        <f>Results!B83</f>
        <v>46205</v>
      </c>
      <c r="C84" s="15">
        <f>Results!C83</f>
        <v>0.75</v>
      </c>
      <c r="D84" t="str">
        <f>Results!E83</f>
        <v>Winner Group J</v>
      </c>
      <c r="G84" t="str">
        <f>Results!H83</f>
        <v>Runner-up Group K</v>
      </c>
      <c r="H84">
        <f t="shared" si="1"/>
        <v>0</v>
      </c>
      <c r="I84">
        <f>if(Results!I83="-",0,IF(OR(AND(H84&gt;0,Results!J83&gt;0),AND(H84&lt;0,Results!J83&lt;0),AND(H84=0,Results!J83=0)),1,0))</f>
        <v>0</v>
      </c>
      <c r="J84">
        <f>IF(K84="-",0,if(K84=Results!I83,3,0))</f>
        <v>0</v>
      </c>
      <c r="K84" t="str">
        <f t="shared" si="2"/>
        <v>-</v>
      </c>
      <c r="L84">
        <f t="shared" si="3"/>
        <v>0</v>
      </c>
    </row>
    <row r="85">
      <c r="A85">
        <f>Results!A84</f>
        <v>5</v>
      </c>
      <c r="B85" s="16">
        <f>Results!B84</f>
        <v>46205</v>
      </c>
      <c r="C85" s="15">
        <f>Results!C84</f>
        <v>0.875</v>
      </c>
      <c r="D85" t="str">
        <f>Results!E84</f>
        <v>Winner Group K</v>
      </c>
      <c r="G85" t="str">
        <f>Results!H84</f>
        <v>Runner-up Group J</v>
      </c>
      <c r="H85">
        <f t="shared" si="1"/>
        <v>0</v>
      </c>
      <c r="I85">
        <f>if(Results!I84="-",0,IF(OR(AND(H85&gt;0,Results!J84&gt;0),AND(H85&lt;0,Results!J84&lt;0),AND(H85=0,Results!J84=0)),1,0))</f>
        <v>0</v>
      </c>
      <c r="J85">
        <f>IF(K85="-",0,if(K85=Results!I84,3,0))</f>
        <v>0</v>
      </c>
      <c r="K85" t="str">
        <f t="shared" si="2"/>
        <v>-</v>
      </c>
      <c r="L85">
        <f t="shared" si="3"/>
        <v>0</v>
      </c>
    </row>
    <row r="86">
      <c r="A86">
        <f>Results!A85</f>
        <v>6</v>
      </c>
      <c r="B86" s="16">
        <f>Results!B85</f>
        <v>46206</v>
      </c>
      <c r="C86" s="15">
        <f>Results!C85</f>
        <v>0.04166666667</v>
      </c>
      <c r="D86" t="str">
        <f>Results!E85</f>
        <v>Winner Group L</v>
      </c>
      <c r="G86" t="str">
        <f>Results!H85</f>
        <v>3rd Place Group A/D/H</v>
      </c>
      <c r="H86">
        <f t="shared" si="1"/>
        <v>0</v>
      </c>
      <c r="I86">
        <f>if(Results!I85="-",0,IF(OR(AND(H86&gt;0,Results!J85&gt;0),AND(H86&lt;0,Results!J85&lt;0),AND(H86=0,Results!J85=0)),1,0))</f>
        <v>0</v>
      </c>
      <c r="J86">
        <f>IF(K86="-",0,if(K86=Results!I85,3,0))</f>
        <v>0</v>
      </c>
      <c r="K86" t="str">
        <f t="shared" si="2"/>
        <v>-</v>
      </c>
      <c r="L86">
        <f t="shared" si="3"/>
        <v>0</v>
      </c>
    </row>
    <row r="87">
      <c r="A87">
        <f>Results!A86</f>
        <v>6</v>
      </c>
      <c r="B87" s="16">
        <f>Results!B86</f>
        <v>46206</v>
      </c>
      <c r="C87" s="15">
        <f>Results!C86</f>
        <v>0.75</v>
      </c>
      <c r="D87" t="str">
        <f>Results!E86</f>
        <v>Runner-up Group D</v>
      </c>
      <c r="G87" t="str">
        <f>Results!H86</f>
        <v>Runner-up Group E</v>
      </c>
      <c r="H87">
        <f t="shared" si="1"/>
        <v>0</v>
      </c>
      <c r="I87">
        <f>if(Results!I86="-",0,IF(OR(AND(H87&gt;0,Results!J86&gt;0),AND(H87&lt;0,Results!J86&lt;0),AND(H87=0,Results!J86=0)),1,0))</f>
        <v>0</v>
      </c>
      <c r="J87">
        <f>IF(K87="-",0,if(K87=Results!I86,3,0))</f>
        <v>0</v>
      </c>
      <c r="K87" t="str">
        <f t="shared" si="2"/>
        <v>-</v>
      </c>
      <c r="L87">
        <f t="shared" si="3"/>
        <v>0</v>
      </c>
    </row>
    <row r="88">
      <c r="A88">
        <f>Results!A87</f>
        <v>6</v>
      </c>
      <c r="B88" s="16">
        <f>Results!B87</f>
        <v>46206</v>
      </c>
      <c r="C88" s="15">
        <f>Results!C87</f>
        <v>0.875</v>
      </c>
      <c r="D88" t="str">
        <f>Results!E87</f>
        <v>Runner-up Group H</v>
      </c>
      <c r="G88" t="str">
        <f>Results!H87</f>
        <v>Runner-up Group I</v>
      </c>
      <c r="H88">
        <f t="shared" si="1"/>
        <v>0</v>
      </c>
      <c r="I88">
        <f>if(Results!I87="-",0,IF(OR(AND(H88&gt;0,Results!J87&gt;0),AND(H88&lt;0,Results!J87&lt;0),AND(H88=0,Results!J87=0)),1,0))</f>
        <v>0</v>
      </c>
      <c r="J88">
        <f>IF(K88="-",0,if(K88=Results!I87,3,0))</f>
        <v>0</v>
      </c>
      <c r="K88" t="str">
        <f t="shared" si="2"/>
        <v>-</v>
      </c>
      <c r="L88">
        <f t="shared" si="3"/>
        <v>0</v>
      </c>
    </row>
    <row r="89">
      <c r="A89">
        <f>Results!A88</f>
        <v>7</v>
      </c>
      <c r="B89" s="16">
        <f>Results!B88</f>
        <v>46207</v>
      </c>
      <c r="C89" s="15">
        <f>Results!C88</f>
        <v>0.04166666667</v>
      </c>
      <c r="D89" t="str">
        <f>Results!E88</f>
        <v>Runner-up Group L</v>
      </c>
      <c r="G89" t="str">
        <f>Results!H88</f>
        <v>Runner-up Group K</v>
      </c>
      <c r="H89">
        <f t="shared" si="1"/>
        <v>0</v>
      </c>
      <c r="I89">
        <f>if(Results!I88="-",0,IF(OR(AND(H89&gt;0,Results!J88&gt;0),AND(H89&lt;0,Results!J88&lt;0),AND(H89=0,Results!J88=0)),1,0))</f>
        <v>0</v>
      </c>
      <c r="J89">
        <f>IF(K89="-",0,if(K89=Results!I88,3,0))</f>
        <v>0</v>
      </c>
      <c r="K89" t="str">
        <f t="shared" si="2"/>
        <v>-</v>
      </c>
      <c r="L89">
        <f t="shared" si="3"/>
        <v>0</v>
      </c>
    </row>
    <row r="90">
      <c r="A90">
        <f>Results!A89</f>
        <v>7</v>
      </c>
      <c r="B90" s="16">
        <f>Results!B89</f>
        <v>46207</v>
      </c>
      <c r="C90" s="15">
        <f>Results!C89</f>
        <v>0.75</v>
      </c>
      <c r="D90" t="str">
        <f>Results!E89</f>
        <v>Winner Match 73</v>
      </c>
      <c r="G90" t="str">
        <f>Results!H89</f>
        <v>Winner Match 74</v>
      </c>
      <c r="H90">
        <f t="shared" si="1"/>
        <v>0</v>
      </c>
      <c r="I90">
        <f>if(Results!I89="-",0,IF(OR(AND(H90&gt;0,Results!J89&gt;0),AND(H90&lt;0,Results!J89&lt;0),AND(H90=0,Results!J89=0)),1,0))</f>
        <v>0</v>
      </c>
      <c r="J90">
        <f>IF(K90="-",0,if(K90=Results!I89,3,0))</f>
        <v>0</v>
      </c>
      <c r="K90" t="str">
        <f t="shared" si="2"/>
        <v>-</v>
      </c>
      <c r="L90">
        <f t="shared" si="3"/>
        <v>0</v>
      </c>
    </row>
    <row r="91">
      <c r="A91">
        <f>Results!A90</f>
        <v>7</v>
      </c>
      <c r="B91" s="16">
        <f>Results!B90</f>
        <v>46207</v>
      </c>
      <c r="C91" s="15">
        <f>Results!C90</f>
        <v>0.8958333333</v>
      </c>
      <c r="D91" t="str">
        <f>Results!E90</f>
        <v>Winner Match 75</v>
      </c>
      <c r="G91" t="str">
        <f>Results!H90</f>
        <v>Winner Match 76</v>
      </c>
      <c r="H91">
        <f t="shared" si="1"/>
        <v>0</v>
      </c>
      <c r="I91">
        <f>if(Results!I90="-",0,IF(OR(AND(H91&gt;0,Results!J90&gt;0),AND(H91&lt;0,Results!J90&lt;0),AND(H91=0,Results!J90=0)),1,0))</f>
        <v>0</v>
      </c>
      <c r="J91">
        <f>IF(K91="-",0,if(K91=Results!I90,3,0))</f>
        <v>0</v>
      </c>
      <c r="K91" t="str">
        <f t="shared" si="2"/>
        <v>-</v>
      </c>
      <c r="L91">
        <f t="shared" si="3"/>
        <v>0</v>
      </c>
    </row>
    <row r="92">
      <c r="A92">
        <f>Results!A91</f>
        <v>1</v>
      </c>
      <c r="B92" s="16">
        <f>Results!B91</f>
        <v>46208</v>
      </c>
      <c r="C92" s="15">
        <f>Results!C91</f>
        <v>0.75</v>
      </c>
      <c r="D92" t="str">
        <f>Results!E91</f>
        <v>Winner Match 77</v>
      </c>
      <c r="G92" t="str">
        <f>Results!H91</f>
        <v>Winner Match 78</v>
      </c>
      <c r="H92">
        <f t="shared" si="1"/>
        <v>0</v>
      </c>
      <c r="I92">
        <f>if(Results!I91="-",0,IF(OR(AND(H92&gt;0,Results!J91&gt;0),AND(H92&lt;0,Results!J91&lt;0),AND(H92=0,Results!J91=0)),1,0))</f>
        <v>0</v>
      </c>
      <c r="J92">
        <f>IF(K92="-",0,if(K92=Results!I91,3,0))</f>
        <v>0</v>
      </c>
      <c r="K92" t="str">
        <f t="shared" si="2"/>
        <v>-</v>
      </c>
      <c r="L92">
        <f t="shared" si="3"/>
        <v>0</v>
      </c>
    </row>
    <row r="93">
      <c r="A93">
        <f>Results!A92</f>
        <v>1</v>
      </c>
      <c r="B93" s="16">
        <f>Results!B92</f>
        <v>46208</v>
      </c>
      <c r="C93" s="15">
        <f>Results!C92</f>
        <v>0.8958333333</v>
      </c>
      <c r="D93" t="str">
        <f>Results!E92</f>
        <v>Winner Match 79</v>
      </c>
      <c r="G93" t="str">
        <f>Results!H92</f>
        <v>Winner Match 80</v>
      </c>
      <c r="H93">
        <f t="shared" si="1"/>
        <v>0</v>
      </c>
      <c r="I93">
        <f>if(Results!I92="-",0,IF(OR(AND(H93&gt;0,Results!J92&gt;0),AND(H93&lt;0,Results!J92&lt;0),AND(H93=0,Results!J92=0)),1,0))</f>
        <v>0</v>
      </c>
      <c r="J93">
        <f>IF(K93="-",0,if(K93=Results!I92,3,0))</f>
        <v>0</v>
      </c>
      <c r="K93" t="str">
        <f t="shared" si="2"/>
        <v>-</v>
      </c>
      <c r="L93">
        <f t="shared" si="3"/>
        <v>0</v>
      </c>
    </row>
    <row r="94">
      <c r="A94">
        <f>Results!A93</f>
        <v>2</v>
      </c>
      <c r="B94" s="16">
        <f>Results!B93</f>
        <v>46209</v>
      </c>
      <c r="C94" s="15">
        <f>Results!C93</f>
        <v>0.75</v>
      </c>
      <c r="D94" t="str">
        <f>Results!E93</f>
        <v>Winner Match 81</v>
      </c>
      <c r="G94" t="str">
        <f>Results!H93</f>
        <v>Winner Match 82</v>
      </c>
      <c r="H94">
        <f t="shared" si="1"/>
        <v>0</v>
      </c>
      <c r="I94">
        <f>if(Results!I93="-",0,IF(OR(AND(H94&gt;0,Results!J93&gt;0),AND(H94&lt;0,Results!J93&lt;0),AND(H94=0,Results!J93=0)),1,0))</f>
        <v>0</v>
      </c>
      <c r="J94">
        <f>IF(K94="-",0,if(K94=Results!I93,3,0))</f>
        <v>0</v>
      </c>
      <c r="K94" t="str">
        <f t="shared" si="2"/>
        <v>-</v>
      </c>
      <c r="L94">
        <f t="shared" si="3"/>
        <v>0</v>
      </c>
    </row>
    <row r="95">
      <c r="A95">
        <f>Results!A94</f>
        <v>2</v>
      </c>
      <c r="B95" s="16">
        <f>Results!B94</f>
        <v>46209</v>
      </c>
      <c r="C95" s="15">
        <f>Results!C94</f>
        <v>0.8958333333</v>
      </c>
      <c r="D95" t="str">
        <f>Results!E94</f>
        <v>Winner Match 83</v>
      </c>
      <c r="G95" t="str">
        <f>Results!H94</f>
        <v>Winner Match 84</v>
      </c>
      <c r="H95">
        <f t="shared" si="1"/>
        <v>0</v>
      </c>
      <c r="I95">
        <f>if(Results!I94="-",0,IF(OR(AND(H95&gt;0,Results!J94&gt;0),AND(H95&lt;0,Results!J94&lt;0),AND(H95=0,Results!J94=0)),1,0))</f>
        <v>0</v>
      </c>
      <c r="J95">
        <f>IF(K95="-",0,if(K95=Results!I94,3,0))</f>
        <v>0</v>
      </c>
      <c r="K95" t="str">
        <f t="shared" si="2"/>
        <v>-</v>
      </c>
      <c r="L95">
        <f t="shared" si="3"/>
        <v>0</v>
      </c>
    </row>
    <row r="96">
      <c r="A96">
        <f>Results!A95</f>
        <v>3</v>
      </c>
      <c r="B96" s="16">
        <f>Results!B95</f>
        <v>46210</v>
      </c>
      <c r="C96" s="15">
        <f>Results!C95</f>
        <v>0.75</v>
      </c>
      <c r="D96" t="str">
        <f>Results!E95</f>
        <v>Winner Match 85</v>
      </c>
      <c r="G96" t="str">
        <f>Results!H95</f>
        <v>Winner Match 86</v>
      </c>
      <c r="H96">
        <f t="shared" si="1"/>
        <v>0</v>
      </c>
      <c r="I96">
        <f>if(Results!I95="-",0,IF(OR(AND(H96&gt;0,Results!J95&gt;0),AND(H96&lt;0,Results!J95&lt;0),AND(H96=0,Results!J95=0)),1,0))</f>
        <v>0</v>
      </c>
      <c r="J96">
        <f>IF(K96="-",0,if(K96=Results!I95,3,0))</f>
        <v>0</v>
      </c>
      <c r="K96" t="str">
        <f t="shared" si="2"/>
        <v>-</v>
      </c>
      <c r="L96">
        <f t="shared" si="3"/>
        <v>0</v>
      </c>
    </row>
    <row r="97">
      <c r="A97">
        <f>Results!A96</f>
        <v>3</v>
      </c>
      <c r="B97" s="16">
        <f>Results!B96</f>
        <v>46210</v>
      </c>
      <c r="C97" s="15">
        <f>Results!C96</f>
        <v>0.8958333333</v>
      </c>
      <c r="D97" t="str">
        <f>Results!E96</f>
        <v>Winner Match 87</v>
      </c>
      <c r="G97" t="str">
        <f>Results!H96</f>
        <v>Winner Match 88</v>
      </c>
      <c r="H97">
        <f t="shared" si="1"/>
        <v>0</v>
      </c>
      <c r="I97">
        <f>if(Results!I96="-",0,IF(OR(AND(H97&gt;0,Results!J96&gt;0),AND(H97&lt;0,Results!J96&lt;0),AND(H97=0,Results!J96=0)),1,0))</f>
        <v>0</v>
      </c>
      <c r="J97">
        <f>IF(K97="-",0,if(K97=Results!I96,3,0))</f>
        <v>0</v>
      </c>
      <c r="K97" t="str">
        <f t="shared" si="2"/>
        <v>-</v>
      </c>
      <c r="L97">
        <f t="shared" si="3"/>
        <v>0</v>
      </c>
    </row>
    <row r="98">
      <c r="A98">
        <f>Results!A97</f>
        <v>5</v>
      </c>
      <c r="B98" s="16">
        <f>Results!B97</f>
        <v>46212</v>
      </c>
      <c r="C98" s="15">
        <f>Results!C97</f>
        <v>0.8333333333</v>
      </c>
      <c r="D98" t="str">
        <f>Results!E97</f>
        <v>Winner Match 89</v>
      </c>
      <c r="G98" t="str">
        <f>Results!H97</f>
        <v>Winner Match 90</v>
      </c>
      <c r="H98">
        <f t="shared" si="1"/>
        <v>0</v>
      </c>
      <c r="I98">
        <f>if(Results!I97="-",0,IF(OR(AND(H98&gt;0,Results!J97&gt;0),AND(H98&lt;0,Results!J97&lt;0),AND(H98=0,Results!J97=0)),1,0))</f>
        <v>0</v>
      </c>
      <c r="J98">
        <f>IF(K98="-",0,if(K98=Results!I97,3,0))</f>
        <v>0</v>
      </c>
      <c r="K98" t="str">
        <f t="shared" si="2"/>
        <v>-</v>
      </c>
      <c r="L98">
        <f t="shared" si="3"/>
        <v>0</v>
      </c>
    </row>
    <row r="99">
      <c r="A99">
        <f>Results!A98</f>
        <v>6</v>
      </c>
      <c r="B99" s="14">
        <f>Results!B98</f>
        <v>46213</v>
      </c>
      <c r="C99" s="15">
        <f>Results!C98</f>
        <v>0.8333333333</v>
      </c>
      <c r="D99" t="str">
        <f>Results!E98</f>
        <v>Winner Match 91</v>
      </c>
      <c r="G99" t="str">
        <f>Results!H98</f>
        <v>Winner Match 92</v>
      </c>
      <c r="H99">
        <f t="shared" si="1"/>
        <v>0</v>
      </c>
      <c r="I99">
        <f>if(Results!I98="-",0,IF(OR(AND(H99&gt;0,Results!J98&gt;0),AND(H99&lt;0,Results!J98&lt;0),AND(H99=0,Results!J98=0)),1,0))</f>
        <v>0</v>
      </c>
      <c r="J99">
        <f>IF(K99="-",0,if(K99=Results!I98,3,0))</f>
        <v>0</v>
      </c>
      <c r="K99" t="str">
        <f t="shared" si="2"/>
        <v>-</v>
      </c>
      <c r="L99">
        <f t="shared" si="3"/>
        <v>0</v>
      </c>
    </row>
    <row r="100">
      <c r="A100">
        <f>Results!A99</f>
        <v>7</v>
      </c>
      <c r="B100" s="14">
        <f>Results!B99</f>
        <v>46214</v>
      </c>
      <c r="C100" s="15">
        <f>Results!C99</f>
        <v>0.75</v>
      </c>
      <c r="D100" t="str">
        <f>Results!E99</f>
        <v>Winner Match 93</v>
      </c>
      <c r="G100" t="str">
        <f>Results!H99</f>
        <v>Winner Match 94</v>
      </c>
      <c r="H100">
        <f t="shared" si="1"/>
        <v>0</v>
      </c>
      <c r="I100">
        <f>if(Results!I99="-",0,IF(OR(AND(H100&gt;0,Results!J99&gt;0),AND(H100&lt;0,Results!J99&lt;0),AND(H100=0,Results!J99=0)),1,0))</f>
        <v>0</v>
      </c>
      <c r="J100">
        <f>IF(K100="-",0,if(K100=Results!I99,3,0))</f>
        <v>0</v>
      </c>
      <c r="K100" t="str">
        <f t="shared" si="2"/>
        <v>-</v>
      </c>
      <c r="L100">
        <f t="shared" si="3"/>
        <v>0</v>
      </c>
    </row>
    <row r="101">
      <c r="A101">
        <f>Results!A100</f>
        <v>7</v>
      </c>
      <c r="B101" s="14">
        <f>Results!B100</f>
        <v>46214</v>
      </c>
      <c r="C101" s="15">
        <f>Results!C100</f>
        <v>0.8958333333</v>
      </c>
      <c r="D101" t="str">
        <f>Results!E100</f>
        <v>Winner Match 95</v>
      </c>
      <c r="G101" t="str">
        <f>Results!H100</f>
        <v>Winner Match 96</v>
      </c>
      <c r="H101">
        <f t="shared" si="1"/>
        <v>0</v>
      </c>
      <c r="I101">
        <f>if(Results!I100="-",0,IF(OR(AND(H101&gt;0,Results!J100&gt;0),AND(H101&lt;0,Results!J100&lt;0),AND(H101=0,Results!J100=0)),1,0))</f>
        <v>0</v>
      </c>
      <c r="J101">
        <f>IF(K101="-",0,if(K101=Results!I100,3,0))</f>
        <v>0</v>
      </c>
      <c r="K101" t="str">
        <f t="shared" si="2"/>
        <v>-</v>
      </c>
      <c r="L101">
        <f t="shared" si="3"/>
        <v>0</v>
      </c>
    </row>
    <row r="102">
      <c r="A102">
        <f>Results!A101</f>
        <v>3</v>
      </c>
      <c r="B102" s="14">
        <f>Results!B101</f>
        <v>46217</v>
      </c>
      <c r="C102" s="15">
        <f>Results!C101</f>
        <v>0.8333333333</v>
      </c>
      <c r="D102" t="str">
        <f>Results!E101</f>
        <v>Winner Match 97</v>
      </c>
      <c r="G102" t="str">
        <f>Results!H101</f>
        <v>Winner Match 98</v>
      </c>
      <c r="H102">
        <f t="shared" si="1"/>
        <v>0</v>
      </c>
      <c r="I102">
        <f>if(Results!I101="-",0,IF(OR(AND(H102&gt;0,Results!J101&gt;0),AND(H102&lt;0,Results!J101&lt;0),AND(H102=0,Results!J101=0)),1,0))</f>
        <v>0</v>
      </c>
      <c r="J102">
        <f>IF(K102="-",0,if(K102=Results!I101,3,0))</f>
        <v>0</v>
      </c>
      <c r="K102" t="str">
        <f t="shared" si="2"/>
        <v>-</v>
      </c>
      <c r="L102">
        <f t="shared" si="3"/>
        <v>0</v>
      </c>
    </row>
    <row r="103">
      <c r="A103">
        <f>Results!A102</f>
        <v>4</v>
      </c>
      <c r="B103" s="14">
        <f>Results!B102</f>
        <v>46218</v>
      </c>
      <c r="C103" s="15">
        <f>Results!C102</f>
        <v>0.8333333333</v>
      </c>
      <c r="D103" t="str">
        <f>Results!E102</f>
        <v>Winner Match 99</v>
      </c>
      <c r="G103" t="str">
        <f>Results!H102</f>
        <v>Winner Match 100</v>
      </c>
      <c r="H103">
        <f t="shared" si="1"/>
        <v>0</v>
      </c>
      <c r="I103">
        <f>if(Results!I102="-",0,IF(OR(AND(H103&gt;0,Results!J102&gt;0),AND(H103&lt;0,Results!J102&lt;0),AND(H103=0,Results!J102=0)),1,0))</f>
        <v>0</v>
      </c>
      <c r="J103">
        <f>IF(K103="-",0,if(K103=Results!I102,3,0))</f>
        <v>0</v>
      </c>
      <c r="K103" t="str">
        <f t="shared" si="2"/>
        <v>-</v>
      </c>
      <c r="L103">
        <f t="shared" si="3"/>
        <v>0</v>
      </c>
    </row>
    <row r="104">
      <c r="A104">
        <f>Results!A103</f>
        <v>7</v>
      </c>
      <c r="B104" s="14">
        <f>Results!B103</f>
        <v>46221</v>
      </c>
      <c r="C104" s="15">
        <f>Results!C103</f>
        <v>0.8333333333</v>
      </c>
      <c r="D104" t="str">
        <f>Results!E103</f>
        <v>Loser Match 101</v>
      </c>
      <c r="G104" t="str">
        <f>Results!H103</f>
        <v>Loser Match 102</v>
      </c>
      <c r="H104">
        <f t="shared" si="1"/>
        <v>0</v>
      </c>
      <c r="I104">
        <f>if(Results!I103="-",0,IF(OR(AND(H104&gt;0,Results!J103&gt;0),AND(H104&lt;0,Results!J103&lt;0),AND(H104=0,Results!J103=0)),1,0))</f>
        <v>0</v>
      </c>
      <c r="J104">
        <f>IF(K104="-",0,if(K104=Results!I103,3,0))</f>
        <v>0</v>
      </c>
      <c r="K104" t="str">
        <f t="shared" si="2"/>
        <v>-</v>
      </c>
      <c r="L104">
        <f t="shared" si="3"/>
        <v>0</v>
      </c>
    </row>
    <row r="105">
      <c r="A105">
        <f>Results!A104</f>
        <v>1</v>
      </c>
      <c r="B105" s="14">
        <f>Results!B104</f>
        <v>46222</v>
      </c>
      <c r="C105" s="15">
        <f>Results!C104</f>
        <v>0.8333333333</v>
      </c>
      <c r="D105" t="str">
        <f>Results!E104</f>
        <v>Winner Match 101</v>
      </c>
      <c r="G105" t="str">
        <f>Results!H104</f>
        <v>Winner Match 102</v>
      </c>
      <c r="H105">
        <f t="shared" si="1"/>
        <v>0</v>
      </c>
      <c r="I105">
        <f>if(Results!I104="-",0,IF(OR(AND(H105&gt;0,Results!J104&gt;0),AND(H105&lt;0,Results!J104&lt;0),AND(H105=0,Results!J104=0)),1,0))</f>
        <v>0</v>
      </c>
      <c r="J105">
        <f>IF(K105="-",0,if(K105=Results!I104,3,0))</f>
        <v>0</v>
      </c>
      <c r="K105" t="str">
        <f t="shared" si="2"/>
        <v>-</v>
      </c>
      <c r="L105">
        <f t="shared" si="3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9"/>
      <c r="F1" s="9"/>
    </row>
    <row r="2">
      <c r="A2">
        <f>Results!A1</f>
        <v>5</v>
      </c>
      <c r="B2" s="14">
        <f>Results!B1</f>
        <v>46184</v>
      </c>
      <c r="C2" s="15">
        <f>Results!C1</f>
        <v>0.8333333333</v>
      </c>
      <c r="D2" t="str">
        <f>Results!E1</f>
        <v>Mexico</v>
      </c>
      <c r="E2" s="9">
        <v>1.0</v>
      </c>
      <c r="F2" s="9">
        <v>0.0</v>
      </c>
      <c r="G2" t="str">
        <f>Results!H1</f>
        <v>South Africa</v>
      </c>
      <c r="H2">
        <f t="shared" ref="H2:H105" si="1">E2-F2</f>
        <v>1</v>
      </c>
      <c r="I2">
        <f>if(Results!I1="-",0,IF(OR(AND(H2&gt;0,Results!J1&gt;0),AND(H2&lt;0,Results!J1&lt;0),AND(H2=0,Results!J1=0)),1,0))</f>
        <v>1</v>
      </c>
      <c r="J2">
        <f>IF(K2="-",0,if(K2=Results!I1,3,0))</f>
        <v>0</v>
      </c>
      <c r="K2" t="str">
        <f t="shared" ref="K2:K105" si="2">E2&amp;"-"&amp;F2</f>
        <v>1-0</v>
      </c>
      <c r="L2">
        <f t="shared" ref="L2:L105" si="3">MAX(I2,J2)</f>
        <v>1</v>
      </c>
    </row>
    <row r="3">
      <c r="A3">
        <f>Results!A2</f>
        <v>6</v>
      </c>
      <c r="B3" s="14">
        <f>Results!B2</f>
        <v>46185</v>
      </c>
      <c r="C3" s="15">
        <f>Results!C2</f>
        <v>0.125</v>
      </c>
      <c r="D3" t="str">
        <f>Results!E2</f>
        <v>South Korea</v>
      </c>
      <c r="E3" s="9">
        <v>1.0</v>
      </c>
      <c r="F3" s="9">
        <v>1.0</v>
      </c>
      <c r="G3" t="str">
        <f>Results!H2</f>
        <v>Czech Republic</v>
      </c>
      <c r="H3">
        <f t="shared" si="1"/>
        <v>0</v>
      </c>
      <c r="I3">
        <f>if(Results!I2="-",0,IF(OR(AND(H3&gt;0,Results!J2&gt;0),AND(H3&lt;0,Results!J2&lt;0),AND(H3=0,Results!J2=0)),1,0))</f>
        <v>0</v>
      </c>
      <c r="J3">
        <f>IF(K3="-",0,if(K3=Results!I2,3,0))</f>
        <v>0</v>
      </c>
      <c r="K3" t="str">
        <f t="shared" si="2"/>
        <v>1-1</v>
      </c>
      <c r="L3">
        <f t="shared" si="3"/>
        <v>0</v>
      </c>
    </row>
    <row r="4">
      <c r="A4">
        <f>Results!A3</f>
        <v>6</v>
      </c>
      <c r="B4" s="14">
        <f>Results!B3</f>
        <v>46185</v>
      </c>
      <c r="C4" s="15">
        <f>Results!C3</f>
        <v>0.8333333333</v>
      </c>
      <c r="D4" t="str">
        <f>Results!E3</f>
        <v>Canada</v>
      </c>
      <c r="E4" s="9">
        <v>1.0</v>
      </c>
      <c r="F4" s="9">
        <v>2.0</v>
      </c>
      <c r="G4" t="str">
        <f>Results!H3</f>
        <v>Bosnia and Herzegovina</v>
      </c>
      <c r="H4">
        <f t="shared" si="1"/>
        <v>-1</v>
      </c>
      <c r="I4">
        <f>if(Results!I3="-",0,IF(OR(AND(H4&gt;0,Results!J3&gt;0),AND(H4&lt;0,Results!J3&lt;0),AND(H4=0,Results!J3=0)),1,0))</f>
        <v>0</v>
      </c>
      <c r="J4">
        <f>IF(K4="-",0,if(K4=Results!I3,3,0))</f>
        <v>0</v>
      </c>
      <c r="K4" t="str">
        <f t="shared" si="2"/>
        <v>1-2</v>
      </c>
      <c r="L4">
        <f t="shared" si="3"/>
        <v>0</v>
      </c>
    </row>
    <row r="5">
      <c r="A5">
        <f>Results!A4</f>
        <v>7</v>
      </c>
      <c r="B5" s="14">
        <f>Results!B4</f>
        <v>46186</v>
      </c>
      <c r="C5" s="15">
        <f>Results!C4</f>
        <v>0.08333333333</v>
      </c>
      <c r="D5" t="str">
        <f>Results!E4</f>
        <v>USA</v>
      </c>
      <c r="E5" s="9">
        <v>1.0</v>
      </c>
      <c r="F5" s="9">
        <v>1.0</v>
      </c>
      <c r="G5" t="str">
        <f>Results!H4</f>
        <v>Paraguay</v>
      </c>
      <c r="H5">
        <f t="shared" si="1"/>
        <v>0</v>
      </c>
      <c r="I5">
        <f>if(Results!I4="-",0,IF(OR(AND(H5&gt;0,Results!J4&gt;0),AND(H5&lt;0,Results!J4&lt;0),AND(H5=0,Results!J4=0)),1,0))</f>
        <v>0</v>
      </c>
      <c r="J5">
        <f>IF(K5="-",0,if(K5=Results!I4,3,0))</f>
        <v>0</v>
      </c>
      <c r="K5" t="str">
        <f t="shared" si="2"/>
        <v>1-1</v>
      </c>
      <c r="L5">
        <f t="shared" si="3"/>
        <v>0</v>
      </c>
    </row>
    <row r="6">
      <c r="A6">
        <f>Results!A5</f>
        <v>7</v>
      </c>
      <c r="B6" s="14">
        <f>Results!B5</f>
        <v>46186</v>
      </c>
      <c r="C6" s="15">
        <f>Results!C5</f>
        <v>0.8333333333</v>
      </c>
      <c r="D6" t="str">
        <f>Results!E5</f>
        <v>Qatar</v>
      </c>
      <c r="E6" s="9">
        <v>0.0</v>
      </c>
      <c r="F6" s="9">
        <v>3.0</v>
      </c>
      <c r="G6" t="str">
        <f>Results!H5</f>
        <v>Switzerland</v>
      </c>
      <c r="H6">
        <f t="shared" si="1"/>
        <v>-3</v>
      </c>
      <c r="I6">
        <f>if(Results!I5="-",0,IF(OR(AND(H6&gt;0,Results!J5&gt;0),AND(H6&lt;0,Results!J5&lt;0),AND(H6=0,Results!J5=0)),1,0))</f>
        <v>0</v>
      </c>
      <c r="J6">
        <f>IF(K6="-",0,if(K6=Results!I5,3,0))</f>
        <v>0</v>
      </c>
      <c r="K6" t="str">
        <f t="shared" si="2"/>
        <v>0-3</v>
      </c>
      <c r="L6">
        <f t="shared" si="3"/>
        <v>0</v>
      </c>
    </row>
    <row r="7">
      <c r="A7">
        <f>Results!A6</f>
        <v>7</v>
      </c>
      <c r="B7" s="14">
        <f>Results!B6</f>
        <v>46186</v>
      </c>
      <c r="C7" s="15">
        <f>Results!C6</f>
        <v>0.9583333333</v>
      </c>
      <c r="D7" t="str">
        <f>Results!E6</f>
        <v>Brazil</v>
      </c>
      <c r="E7" s="9">
        <v>2.0</v>
      </c>
      <c r="F7" s="9">
        <v>1.0</v>
      </c>
      <c r="G7" t="str">
        <f>Results!H6</f>
        <v>Morocco</v>
      </c>
      <c r="H7">
        <f t="shared" si="1"/>
        <v>1</v>
      </c>
      <c r="I7">
        <f>if(Results!I6="-",0,IF(OR(AND(H7&gt;0,Results!J6&gt;0),AND(H7&lt;0,Results!J6&lt;0),AND(H7=0,Results!J6=0)),1,0))</f>
        <v>0</v>
      </c>
      <c r="J7">
        <f>IF(K7="-",0,if(K7=Results!I6,3,0))</f>
        <v>0</v>
      </c>
      <c r="K7" t="str">
        <f t="shared" si="2"/>
        <v>2-1</v>
      </c>
      <c r="L7">
        <f t="shared" si="3"/>
        <v>0</v>
      </c>
    </row>
    <row r="8">
      <c r="A8">
        <f>Results!A7</f>
        <v>1</v>
      </c>
      <c r="B8" s="14">
        <f>Results!B7</f>
        <v>46187</v>
      </c>
      <c r="C8" s="15">
        <f>Results!C7</f>
        <v>0.08333333333</v>
      </c>
      <c r="D8" t="str">
        <f>Results!E7</f>
        <v>Haiti</v>
      </c>
      <c r="E8" s="9">
        <v>0.0</v>
      </c>
      <c r="F8" s="9">
        <v>3.0</v>
      </c>
      <c r="G8" t="str">
        <f>Results!H7</f>
        <v>Scotland</v>
      </c>
      <c r="H8">
        <f t="shared" si="1"/>
        <v>-3</v>
      </c>
      <c r="I8">
        <f>if(Results!I7="-",0,IF(OR(AND(H8&gt;0,Results!J7&gt;0),AND(H8&lt;0,Results!J7&lt;0),AND(H8=0,Results!J7=0)),1,0))</f>
        <v>1</v>
      </c>
      <c r="J8">
        <f>IF(K8="-",0,if(K8=Results!I7,3,0))</f>
        <v>0</v>
      </c>
      <c r="K8" t="str">
        <f t="shared" si="2"/>
        <v>0-3</v>
      </c>
      <c r="L8">
        <f t="shared" si="3"/>
        <v>1</v>
      </c>
    </row>
    <row r="9">
      <c r="A9">
        <f>Results!A8</f>
        <v>1</v>
      </c>
      <c r="B9" s="14">
        <f>Results!B8</f>
        <v>46187</v>
      </c>
      <c r="C9" s="15">
        <f>Results!C8</f>
        <v>0.2083333333</v>
      </c>
      <c r="D9" t="str">
        <f>Results!E8</f>
        <v>Australia</v>
      </c>
      <c r="E9" s="9">
        <v>1.0</v>
      </c>
      <c r="F9" s="9">
        <v>2.0</v>
      </c>
      <c r="G9" t="str">
        <f>Results!H8</f>
        <v>Türkiye</v>
      </c>
      <c r="H9">
        <f t="shared" si="1"/>
        <v>-1</v>
      </c>
      <c r="I9">
        <f>if(Results!I8="-",0,IF(OR(AND(H9&gt;0,Results!J8&gt;0),AND(H9&lt;0,Results!J8&lt;0),AND(H9=0,Results!J8=0)),1,0))</f>
        <v>0</v>
      </c>
      <c r="J9">
        <f>IF(K9="-",0,if(K9=Results!I8,3,0))</f>
        <v>0</v>
      </c>
      <c r="K9" t="str">
        <f t="shared" si="2"/>
        <v>1-2</v>
      </c>
      <c r="L9">
        <f t="shared" si="3"/>
        <v>0</v>
      </c>
    </row>
    <row r="10">
      <c r="A10">
        <f>Results!A9</f>
        <v>1</v>
      </c>
      <c r="B10" s="14">
        <f>Results!B9</f>
        <v>46187</v>
      </c>
      <c r="C10" s="15">
        <f>Results!C9</f>
        <v>0.75</v>
      </c>
      <c r="D10" t="str">
        <f>Results!E9</f>
        <v>Germany</v>
      </c>
      <c r="E10" s="9">
        <v>4.0</v>
      </c>
      <c r="F10" s="9">
        <v>0.0</v>
      </c>
      <c r="G10" t="str">
        <f>Results!H9</f>
        <v>Curaçao</v>
      </c>
      <c r="H10">
        <f t="shared" si="1"/>
        <v>4</v>
      </c>
      <c r="I10">
        <f>if(Results!I9="-",0,IF(OR(AND(H10&gt;0,Results!J9&gt;0),AND(H10&lt;0,Results!J9&lt;0),AND(H10=0,Results!J9=0)),1,0))</f>
        <v>1</v>
      </c>
      <c r="J10">
        <f>IF(K10="-",0,if(K10=Results!I9,3,0))</f>
        <v>0</v>
      </c>
      <c r="K10" t="str">
        <f t="shared" si="2"/>
        <v>4-0</v>
      </c>
      <c r="L10">
        <f t="shared" si="3"/>
        <v>1</v>
      </c>
    </row>
    <row r="11">
      <c r="A11">
        <f>Results!A10</f>
        <v>1</v>
      </c>
      <c r="B11" s="14">
        <f>Results!B10</f>
        <v>46187</v>
      </c>
      <c r="C11" s="15">
        <f>Results!C10</f>
        <v>0.875</v>
      </c>
      <c r="D11" t="str">
        <f>Results!E10</f>
        <v>Netherlands</v>
      </c>
      <c r="E11" s="9">
        <v>2.0</v>
      </c>
      <c r="F11" s="9">
        <v>1.0</v>
      </c>
      <c r="G11" t="str">
        <f>Results!H10</f>
        <v>Japan</v>
      </c>
      <c r="H11">
        <f t="shared" si="1"/>
        <v>1</v>
      </c>
      <c r="I11">
        <f>if(Results!I10="-",0,IF(OR(AND(H11&gt;0,Results!J10&gt;0),AND(H11&lt;0,Results!J10&lt;0),AND(H11=0,Results!J10=0)),1,0))</f>
        <v>0</v>
      </c>
      <c r="J11">
        <f>IF(K11="-",0,if(K11=Results!I10,3,0))</f>
        <v>0</v>
      </c>
      <c r="K11" t="str">
        <f t="shared" si="2"/>
        <v>2-1</v>
      </c>
      <c r="L11">
        <f t="shared" si="3"/>
        <v>0</v>
      </c>
    </row>
    <row r="12">
      <c r="A12">
        <f>Results!A11</f>
        <v>2</v>
      </c>
      <c r="B12" s="14">
        <f>Results!B11</f>
        <v>46188</v>
      </c>
      <c r="C12" s="15">
        <f>Results!C11</f>
        <v>0</v>
      </c>
      <c r="D12" t="str">
        <f>Results!E11</f>
        <v>Ivory Coast</v>
      </c>
      <c r="E12" s="9">
        <v>2.0</v>
      </c>
      <c r="F12" s="9">
        <v>1.0</v>
      </c>
      <c r="G12" t="str">
        <f>Results!H11</f>
        <v>Ecuador</v>
      </c>
      <c r="H12">
        <f t="shared" si="1"/>
        <v>1</v>
      </c>
      <c r="I12">
        <f>if(Results!I11="-",0,IF(OR(AND(H12&gt;0,Results!J11&gt;0),AND(H12&lt;0,Results!J11&lt;0),AND(H12=0,Results!J11=0)),1,0))</f>
        <v>1</v>
      </c>
      <c r="J12">
        <f>IF(K12="-",0,if(K12=Results!I11,3,0))</f>
        <v>0</v>
      </c>
      <c r="K12" t="str">
        <f t="shared" si="2"/>
        <v>2-1</v>
      </c>
      <c r="L12">
        <f t="shared" si="3"/>
        <v>1</v>
      </c>
    </row>
    <row r="13">
      <c r="A13">
        <f>Results!A12</f>
        <v>2</v>
      </c>
      <c r="B13" s="14">
        <f>Results!B12</f>
        <v>46188</v>
      </c>
      <c r="C13" s="15">
        <f>Results!C12</f>
        <v>0.125</v>
      </c>
      <c r="D13" t="str">
        <f>Results!E12</f>
        <v>Sweden</v>
      </c>
      <c r="E13" s="9">
        <v>2.0</v>
      </c>
      <c r="F13" s="9">
        <v>0.0</v>
      </c>
      <c r="G13" t="str">
        <f>Results!H12</f>
        <v>Tunisia</v>
      </c>
      <c r="H13">
        <f t="shared" si="1"/>
        <v>2</v>
      </c>
      <c r="I13">
        <f>if(Results!I12="-",0,IF(OR(AND(H13&gt;0,Results!J12&gt;0),AND(H13&lt;0,Results!J12&lt;0),AND(H13=0,Results!J12=0)),1,0))</f>
        <v>1</v>
      </c>
      <c r="J13">
        <f>IF(K13="-",0,if(K13=Results!I12,3,0))</f>
        <v>0</v>
      </c>
      <c r="K13" t="str">
        <f t="shared" si="2"/>
        <v>2-0</v>
      </c>
      <c r="L13">
        <f t="shared" si="3"/>
        <v>1</v>
      </c>
    </row>
    <row r="14">
      <c r="A14">
        <f>Results!A13</f>
        <v>2</v>
      </c>
      <c r="B14" s="14">
        <f>Results!B13</f>
        <v>46188</v>
      </c>
      <c r="C14" s="15">
        <f>Results!C13</f>
        <v>0.7083333333</v>
      </c>
      <c r="D14" t="str">
        <f>Results!E13</f>
        <v>Spain</v>
      </c>
      <c r="E14" s="9">
        <v>3.0</v>
      </c>
      <c r="F14" s="9">
        <v>0.0</v>
      </c>
      <c r="G14" t="str">
        <f>Results!H13</f>
        <v>Cape Verde</v>
      </c>
      <c r="H14">
        <f t="shared" si="1"/>
        <v>3</v>
      </c>
      <c r="I14">
        <f>if(Results!I13="-",0,IF(OR(AND(H14&gt;0,Results!J13&gt;0),AND(H14&lt;0,Results!J13&lt;0),AND(H14=0,Results!J13=0)),1,0))</f>
        <v>0</v>
      </c>
      <c r="J14">
        <f>IF(K14="-",0,if(K14=Results!I13,3,0))</f>
        <v>0</v>
      </c>
      <c r="K14" t="str">
        <f t="shared" si="2"/>
        <v>3-0</v>
      </c>
      <c r="L14">
        <f t="shared" si="3"/>
        <v>0</v>
      </c>
    </row>
    <row r="15">
      <c r="A15">
        <f>Results!A14</f>
        <v>2</v>
      </c>
      <c r="B15" s="14">
        <f>Results!B14</f>
        <v>46188</v>
      </c>
      <c r="C15" s="15">
        <f>Results!C14</f>
        <v>0.8333333333</v>
      </c>
      <c r="D15" t="str">
        <f>Results!E14</f>
        <v>Belgium</v>
      </c>
      <c r="E15" s="9">
        <v>1.0</v>
      </c>
      <c r="F15" s="9">
        <v>1.0</v>
      </c>
      <c r="G15" t="str">
        <f>Results!H14</f>
        <v>Egypt</v>
      </c>
      <c r="H15">
        <f t="shared" si="1"/>
        <v>0</v>
      </c>
      <c r="I15">
        <f>if(Results!I14="-",0,IF(OR(AND(H15&gt;0,Results!J14&gt;0),AND(H15&lt;0,Results!J14&lt;0),AND(H15=0,Results!J14=0)),1,0))</f>
        <v>1</v>
      </c>
      <c r="J15">
        <f>IF(K15="-",0,if(K15=Results!I14,3,0))</f>
        <v>3</v>
      </c>
      <c r="K15" t="str">
        <f t="shared" si="2"/>
        <v>1-1</v>
      </c>
      <c r="L15">
        <f t="shared" si="3"/>
        <v>3</v>
      </c>
    </row>
    <row r="16">
      <c r="A16">
        <f>Results!A15</f>
        <v>2</v>
      </c>
      <c r="B16" s="14">
        <f>Results!B15</f>
        <v>46188</v>
      </c>
      <c r="C16" s="15">
        <f>Results!C15</f>
        <v>0.9583333333</v>
      </c>
      <c r="D16" t="str">
        <f>Results!E15</f>
        <v>Saudi Arabia</v>
      </c>
      <c r="E16" s="9">
        <v>1.0</v>
      </c>
      <c r="F16" s="9">
        <v>2.0</v>
      </c>
      <c r="G16" t="str">
        <f>Results!H15</f>
        <v>Uruguay</v>
      </c>
      <c r="H16">
        <f t="shared" si="1"/>
        <v>-1</v>
      </c>
      <c r="I16">
        <f>if(Results!I15="-",0,IF(OR(AND(H16&gt;0,Results!J15&gt;0),AND(H16&lt;0,Results!J15&lt;0),AND(H16=0,Results!J15=0)),1,0))</f>
        <v>0</v>
      </c>
      <c r="J16">
        <f>IF(K16="-",0,if(K16=Results!I15,3,0))</f>
        <v>0</v>
      </c>
      <c r="K16" t="str">
        <f t="shared" si="2"/>
        <v>1-2</v>
      </c>
      <c r="L16">
        <f t="shared" si="3"/>
        <v>0</v>
      </c>
    </row>
    <row r="17">
      <c r="A17">
        <f>Results!A16</f>
        <v>3</v>
      </c>
      <c r="B17" s="14">
        <f>Results!B16</f>
        <v>46189</v>
      </c>
      <c r="C17" s="15">
        <f>Results!C16</f>
        <v>0.08333333333</v>
      </c>
      <c r="D17" t="str">
        <f>Results!E16</f>
        <v>Iran</v>
      </c>
      <c r="E17" s="9">
        <v>1.0</v>
      </c>
      <c r="F17" s="9">
        <v>1.0</v>
      </c>
      <c r="G17" t="str">
        <f>Results!H16</f>
        <v>New Zealand</v>
      </c>
      <c r="H17">
        <f t="shared" si="1"/>
        <v>0</v>
      </c>
      <c r="I17">
        <f>if(Results!I16="-",0,IF(OR(AND(H17&gt;0,Results!J16&gt;0),AND(H17&lt;0,Results!J16&lt;0),AND(H17=0,Results!J16=0)),1,0))</f>
        <v>1</v>
      </c>
      <c r="J17">
        <f>IF(K17="-",0,if(K17=Results!I16,3,0))</f>
        <v>0</v>
      </c>
      <c r="K17" t="str">
        <f t="shared" si="2"/>
        <v>1-1</v>
      </c>
      <c r="L17">
        <f t="shared" si="3"/>
        <v>1</v>
      </c>
    </row>
    <row r="18">
      <c r="A18">
        <f>Results!A17</f>
        <v>3</v>
      </c>
      <c r="B18" s="14">
        <f>Results!B17</f>
        <v>46189</v>
      </c>
      <c r="C18" s="15">
        <f>Results!C17</f>
        <v>0.8333333333</v>
      </c>
      <c r="D18" t="str">
        <f>Results!E17</f>
        <v>France</v>
      </c>
      <c r="E18" s="9">
        <v>3.0</v>
      </c>
      <c r="F18" s="9">
        <v>1.0</v>
      </c>
      <c r="G18" t="str">
        <f>Results!H17</f>
        <v>Senegal</v>
      </c>
      <c r="H18">
        <f t="shared" si="1"/>
        <v>2</v>
      </c>
      <c r="I18">
        <f>if(Results!I17="-",0,IF(OR(AND(H18&gt;0,Results!J17&gt;0),AND(H18&lt;0,Results!J17&lt;0),AND(H18=0,Results!J17=0)),1,0))</f>
        <v>1</v>
      </c>
      <c r="J18">
        <f>IF(K18="-",0,if(K18=Results!I17,3,0))</f>
        <v>3</v>
      </c>
      <c r="K18" t="str">
        <f t="shared" si="2"/>
        <v>3-1</v>
      </c>
      <c r="L18">
        <f t="shared" si="3"/>
        <v>3</v>
      </c>
    </row>
    <row r="19">
      <c r="A19">
        <f>Results!A18</f>
        <v>3</v>
      </c>
      <c r="B19" s="14">
        <f>Results!B18</f>
        <v>46189</v>
      </c>
      <c r="C19" s="15">
        <f>Results!C18</f>
        <v>0.9583333333</v>
      </c>
      <c r="D19" t="str">
        <f>Results!E18</f>
        <v>Iraq</v>
      </c>
      <c r="E19" s="9">
        <v>0.0</v>
      </c>
      <c r="F19" s="9">
        <v>2.0</v>
      </c>
      <c r="G19" t="str">
        <f>Results!H18</f>
        <v>Norway</v>
      </c>
      <c r="H19">
        <f t="shared" si="1"/>
        <v>-2</v>
      </c>
      <c r="I19">
        <f>if(Results!I18="-",0,IF(OR(AND(H19&gt;0,Results!J18&gt;0),AND(H19&lt;0,Results!J18&lt;0),AND(H19=0,Results!J18=0)),1,0))</f>
        <v>1</v>
      </c>
      <c r="J19">
        <f>IF(K19="-",0,if(K19=Results!I18,3,0))</f>
        <v>0</v>
      </c>
      <c r="K19" t="str">
        <f t="shared" si="2"/>
        <v>0-2</v>
      </c>
      <c r="L19">
        <f t="shared" si="3"/>
        <v>1</v>
      </c>
    </row>
    <row r="20">
      <c r="A20">
        <f>Results!A19</f>
        <v>4</v>
      </c>
      <c r="B20" s="14">
        <f>Results!B19</f>
        <v>46190</v>
      </c>
      <c r="C20" s="15">
        <f>Results!C19</f>
        <v>0.08333333333</v>
      </c>
      <c r="D20" t="str">
        <f>Results!E19</f>
        <v>Argentina</v>
      </c>
      <c r="E20" s="9">
        <v>2.0</v>
      </c>
      <c r="F20" s="9">
        <v>0.0</v>
      </c>
      <c r="G20" t="str">
        <f>Results!H19</f>
        <v>Algeria</v>
      </c>
      <c r="H20">
        <f t="shared" si="1"/>
        <v>2</v>
      </c>
      <c r="I20">
        <f>if(Results!I19="-",0,IF(OR(AND(H20&gt;0,Results!J19&gt;0),AND(H20&lt;0,Results!J19&lt;0),AND(H20=0,Results!J19=0)),1,0))</f>
        <v>1</v>
      </c>
      <c r="J20">
        <f>IF(K20="-",0,if(K20=Results!I19,3,0))</f>
        <v>0</v>
      </c>
      <c r="K20" t="str">
        <f t="shared" si="2"/>
        <v>2-0</v>
      </c>
      <c r="L20">
        <f t="shared" si="3"/>
        <v>1</v>
      </c>
    </row>
    <row r="21">
      <c r="A21">
        <f>Results!A20</f>
        <v>4</v>
      </c>
      <c r="B21" s="14">
        <f>Results!B20</f>
        <v>46190</v>
      </c>
      <c r="C21" s="15">
        <f>Results!C20</f>
        <v>0.2083333333</v>
      </c>
      <c r="D21" t="str">
        <f>Results!E20</f>
        <v>Austria</v>
      </c>
      <c r="E21" s="9">
        <v>2.0</v>
      </c>
      <c r="F21" s="9">
        <v>0.0</v>
      </c>
      <c r="G21" t="str">
        <f>Results!H20</f>
        <v>Jordan</v>
      </c>
      <c r="H21">
        <f t="shared" si="1"/>
        <v>2</v>
      </c>
      <c r="I21">
        <f>if(Results!I20="-",0,IF(OR(AND(H21&gt;0,Results!J20&gt;0),AND(H21&lt;0,Results!J20&lt;0),AND(H21=0,Results!J20=0)),1,0))</f>
        <v>1</v>
      </c>
      <c r="J21">
        <f>IF(K21="-",0,if(K21=Results!I20,3,0))</f>
        <v>0</v>
      </c>
      <c r="K21" t="str">
        <f t="shared" si="2"/>
        <v>2-0</v>
      </c>
      <c r="L21">
        <f t="shared" si="3"/>
        <v>1</v>
      </c>
    </row>
    <row r="22">
      <c r="A22">
        <f>Results!A21</f>
        <v>4</v>
      </c>
      <c r="B22" s="14">
        <f>Results!B21</f>
        <v>46190</v>
      </c>
      <c r="C22" s="15">
        <f>Results!C21</f>
        <v>0.75</v>
      </c>
      <c r="D22" t="str">
        <f>Results!E21</f>
        <v>Portugal</v>
      </c>
      <c r="E22" s="9">
        <v>3.0</v>
      </c>
      <c r="F22" s="9">
        <v>0.0</v>
      </c>
      <c r="G22" t="str">
        <f>Results!H21</f>
        <v>Congo DR</v>
      </c>
      <c r="H22">
        <f t="shared" si="1"/>
        <v>3</v>
      </c>
      <c r="I22">
        <f>if(Results!I21="-",0,IF(OR(AND(H22&gt;0,Results!J21&gt;0),AND(H22&lt;0,Results!J21&lt;0),AND(H22=0,Results!J21=0)),1,0))</f>
        <v>0</v>
      </c>
      <c r="J22">
        <f>IF(K22="-",0,if(K22=Results!I21,3,0))</f>
        <v>0</v>
      </c>
      <c r="K22" t="str">
        <f t="shared" si="2"/>
        <v>3-0</v>
      </c>
      <c r="L22">
        <f t="shared" si="3"/>
        <v>0</v>
      </c>
    </row>
    <row r="23">
      <c r="A23">
        <f>Results!A22</f>
        <v>4</v>
      </c>
      <c r="B23" s="14">
        <f>Results!B22</f>
        <v>46190</v>
      </c>
      <c r="C23" s="15">
        <f>Results!C22</f>
        <v>0.875</v>
      </c>
      <c r="D23" t="str">
        <f>Results!E22</f>
        <v>England</v>
      </c>
      <c r="E23" s="9">
        <v>1.0</v>
      </c>
      <c r="F23" s="9">
        <v>1.0</v>
      </c>
      <c r="G23" t="str">
        <f>Results!H22</f>
        <v>Croatia</v>
      </c>
      <c r="H23">
        <f t="shared" si="1"/>
        <v>0</v>
      </c>
      <c r="I23">
        <f>if(Results!I22="-",0,IF(OR(AND(H23&gt;0,Results!J22&gt;0),AND(H23&lt;0,Results!J22&lt;0),AND(H23=0,Results!J22=0)),1,0))</f>
        <v>0</v>
      </c>
      <c r="J23">
        <f>IF(K23="-",0,if(K23=Results!I22,3,0))</f>
        <v>0</v>
      </c>
      <c r="K23" t="str">
        <f t="shared" si="2"/>
        <v>1-1</v>
      </c>
      <c r="L23">
        <f t="shared" si="3"/>
        <v>0</v>
      </c>
    </row>
    <row r="24">
      <c r="A24">
        <f>Results!A23</f>
        <v>5</v>
      </c>
      <c r="B24" s="14">
        <f>Results!B23</f>
        <v>46191</v>
      </c>
      <c r="C24" s="15">
        <f>Results!C23</f>
        <v>0</v>
      </c>
      <c r="D24" t="str">
        <f>Results!E23</f>
        <v>Ghana</v>
      </c>
      <c r="E24" s="9">
        <v>1.0</v>
      </c>
      <c r="F24" s="9">
        <v>0.0</v>
      </c>
      <c r="G24" t="str">
        <f>Results!H23</f>
        <v>Panama</v>
      </c>
      <c r="H24">
        <f t="shared" si="1"/>
        <v>1</v>
      </c>
      <c r="I24">
        <f>if(Results!I23="-",0,IF(OR(AND(H24&gt;0,Results!J23&gt;0),AND(H24&lt;0,Results!J23&lt;0),AND(H24=0,Results!J23=0)),1,0))</f>
        <v>1</v>
      </c>
      <c r="J24">
        <f>IF(K24="-",0,if(K24=Results!I23,3,0))</f>
        <v>3</v>
      </c>
      <c r="K24" t="str">
        <f t="shared" si="2"/>
        <v>1-0</v>
      </c>
      <c r="L24">
        <f t="shared" si="3"/>
        <v>3</v>
      </c>
    </row>
    <row r="25">
      <c r="A25">
        <f>Results!A24</f>
        <v>5</v>
      </c>
      <c r="B25" s="14">
        <f>Results!B24</f>
        <v>46191</v>
      </c>
      <c r="C25" s="15">
        <f>Results!C24</f>
        <v>0.125</v>
      </c>
      <c r="D25" t="str">
        <f>Results!E24</f>
        <v>Uzbekistan</v>
      </c>
      <c r="E25" s="9">
        <v>0.0</v>
      </c>
      <c r="F25" s="9">
        <v>2.0</v>
      </c>
      <c r="G25" t="str">
        <f>Results!H24</f>
        <v>Colombia</v>
      </c>
      <c r="H25">
        <f t="shared" si="1"/>
        <v>-2</v>
      </c>
      <c r="I25">
        <f>if(Results!I24="-",0,IF(OR(AND(H25&gt;0,Results!J24&gt;0),AND(H25&lt;0,Results!J24&lt;0),AND(H25=0,Results!J24=0)),1,0))</f>
        <v>1</v>
      </c>
      <c r="J25">
        <f>IF(K25="-",0,if(K25=Results!I24,3,0))</f>
        <v>0</v>
      </c>
      <c r="K25" t="str">
        <f t="shared" si="2"/>
        <v>0-2</v>
      </c>
      <c r="L25">
        <f t="shared" si="3"/>
        <v>1</v>
      </c>
    </row>
    <row r="26">
      <c r="A26">
        <f>Results!A25</f>
        <v>5</v>
      </c>
      <c r="B26" s="14">
        <f>Results!B25</f>
        <v>46191</v>
      </c>
      <c r="C26" s="15">
        <f>Results!C25</f>
        <v>0.7083333333</v>
      </c>
      <c r="D26" t="str">
        <f>Results!E25</f>
        <v>Czechia</v>
      </c>
      <c r="E26" s="9">
        <v>2.0</v>
      </c>
      <c r="F26" s="9">
        <v>0.0</v>
      </c>
      <c r="G26" t="str">
        <f>Results!H25</f>
        <v>South Africa</v>
      </c>
      <c r="H26">
        <f t="shared" si="1"/>
        <v>2</v>
      </c>
      <c r="I26">
        <f>if(Results!I25="-",0,IF(OR(AND(H26&gt;0,Results!J25&gt;0),AND(H26&lt;0,Results!J25&lt;0),AND(H26=0,Results!J25=0)),1,0))</f>
        <v>0</v>
      </c>
      <c r="J26">
        <f>IF(K26="-",0,if(K26=Results!I25,3,0))</f>
        <v>0</v>
      </c>
      <c r="K26" t="str">
        <f t="shared" si="2"/>
        <v>2-0</v>
      </c>
      <c r="L26">
        <f t="shared" si="3"/>
        <v>0</v>
      </c>
    </row>
    <row r="27">
      <c r="A27">
        <f>Results!A26</f>
        <v>5</v>
      </c>
      <c r="B27" s="14">
        <f>Results!B26</f>
        <v>46191</v>
      </c>
      <c r="C27" s="15">
        <f>Results!C26</f>
        <v>0.8333333333</v>
      </c>
      <c r="D27" t="str">
        <f>Results!E26</f>
        <v>Switzerland</v>
      </c>
      <c r="E27" s="9">
        <v>2.0</v>
      </c>
      <c r="F27" s="9">
        <v>1.0</v>
      </c>
      <c r="G27" t="str">
        <f>Results!H26</f>
        <v>Bosnia and Herzegovina</v>
      </c>
      <c r="H27">
        <f t="shared" si="1"/>
        <v>1</v>
      </c>
      <c r="I27">
        <f>if(Results!I26="-",0,IF(OR(AND(H27&gt;0,Results!J26&gt;0),AND(H27&lt;0,Results!J26&lt;0),AND(H27=0,Results!J26=0)),1,0))</f>
        <v>1</v>
      </c>
      <c r="J27">
        <f>IF(K27="-",0,if(K27=Results!I26,3,0))</f>
        <v>0</v>
      </c>
      <c r="K27" t="str">
        <f t="shared" si="2"/>
        <v>2-1</v>
      </c>
      <c r="L27">
        <f t="shared" si="3"/>
        <v>1</v>
      </c>
    </row>
    <row r="28">
      <c r="A28">
        <f>Results!A27</f>
        <v>5</v>
      </c>
      <c r="B28" s="14">
        <f>Results!B27</f>
        <v>46191</v>
      </c>
      <c r="C28" s="15">
        <f>Results!C27</f>
        <v>0.9583333333</v>
      </c>
      <c r="D28" t="str">
        <f>Results!E27</f>
        <v>Canada</v>
      </c>
      <c r="E28" s="9">
        <v>2.0</v>
      </c>
      <c r="F28" s="9">
        <v>1.0</v>
      </c>
      <c r="G28" t="str">
        <f>Results!H27</f>
        <v>Qatar</v>
      </c>
      <c r="H28">
        <f t="shared" si="1"/>
        <v>1</v>
      </c>
      <c r="I28">
        <f>if(Results!I27="-",0,IF(OR(AND(H28&gt;0,Results!J27&gt;0),AND(H28&lt;0,Results!J27&lt;0),AND(H28=0,Results!J27=0)),1,0))</f>
        <v>1</v>
      </c>
      <c r="J28">
        <f>IF(K28="-",0,if(K28=Results!I27,3,0))</f>
        <v>0</v>
      </c>
      <c r="K28" t="str">
        <f t="shared" si="2"/>
        <v>2-1</v>
      </c>
      <c r="L28">
        <f t="shared" si="3"/>
        <v>1</v>
      </c>
    </row>
    <row r="29">
      <c r="A29">
        <f>Results!A28</f>
        <v>6</v>
      </c>
      <c r="B29" s="14">
        <f>Results!B28</f>
        <v>46192</v>
      </c>
      <c r="C29" s="15">
        <f>Results!C28</f>
        <v>0.08333333333</v>
      </c>
      <c r="D29" t="str">
        <f>Results!E28</f>
        <v>Mexico</v>
      </c>
      <c r="E29" s="9">
        <v>1.0</v>
      </c>
      <c r="F29" s="9">
        <v>1.0</v>
      </c>
      <c r="G29" t="str">
        <f>Results!H28</f>
        <v>South Korea</v>
      </c>
      <c r="H29">
        <f t="shared" si="1"/>
        <v>0</v>
      </c>
      <c r="I29">
        <f>if(Results!I28="-",0,IF(OR(AND(H29&gt;0,Results!J28&gt;0),AND(H29&lt;0,Results!J28&lt;0),AND(H29=0,Results!J28=0)),1,0))</f>
        <v>0</v>
      </c>
      <c r="J29">
        <f>IF(K29="-",0,if(K29=Results!I28,3,0))</f>
        <v>0</v>
      </c>
      <c r="K29" t="str">
        <f t="shared" si="2"/>
        <v>1-1</v>
      </c>
      <c r="L29">
        <f t="shared" si="3"/>
        <v>0</v>
      </c>
    </row>
    <row r="30">
      <c r="A30">
        <f>Results!A29</f>
        <v>6</v>
      </c>
      <c r="B30" s="14">
        <f>Results!B29</f>
        <v>46192</v>
      </c>
      <c r="C30" s="15">
        <f>Results!C29</f>
        <v>0.8333333333</v>
      </c>
      <c r="D30" t="str">
        <f>Results!E29</f>
        <v>USA</v>
      </c>
      <c r="E30" s="9">
        <v>2.0</v>
      </c>
      <c r="F30" s="9">
        <v>1.0</v>
      </c>
      <c r="G30" t="str">
        <f>Results!H29</f>
        <v>Australia</v>
      </c>
      <c r="H30">
        <f t="shared" si="1"/>
        <v>1</v>
      </c>
      <c r="I30">
        <f>if(Results!I29="-",0,IF(OR(AND(H30&gt;0,Results!J29&gt;0),AND(H30&lt;0,Results!J29&lt;0),AND(H30=0,Results!J29=0)),1,0))</f>
        <v>1</v>
      </c>
      <c r="J30">
        <f>IF(K30="-",0,if(K30=Results!I29,3,0))</f>
        <v>0</v>
      </c>
      <c r="K30" t="str">
        <f t="shared" si="2"/>
        <v>2-1</v>
      </c>
      <c r="L30">
        <f t="shared" si="3"/>
        <v>1</v>
      </c>
    </row>
    <row r="31">
      <c r="A31">
        <f>Results!A30</f>
        <v>6</v>
      </c>
      <c r="B31" s="14">
        <f>Results!B30</f>
        <v>46192</v>
      </c>
      <c r="C31" s="15">
        <f>Results!C30</f>
        <v>0.9583333333</v>
      </c>
      <c r="D31" t="str">
        <f>Results!E30</f>
        <v>Scotland</v>
      </c>
      <c r="E31" s="9">
        <v>2.0</v>
      </c>
      <c r="F31" s="9">
        <v>2.0</v>
      </c>
      <c r="G31" t="str">
        <f>Results!H30</f>
        <v>Morocco</v>
      </c>
      <c r="H31">
        <f t="shared" si="1"/>
        <v>0</v>
      </c>
      <c r="I31">
        <f>if(Results!I30="-",0,IF(OR(AND(H31&gt;0,Results!J30&gt;0),AND(H31&lt;0,Results!J30&lt;0),AND(H31=0,Results!J30=0)),1,0))</f>
        <v>0</v>
      </c>
      <c r="J31">
        <f>IF(K31="-",0,if(K31=Results!I30,3,0))</f>
        <v>0</v>
      </c>
      <c r="K31" t="str">
        <f t="shared" si="2"/>
        <v>2-2</v>
      </c>
      <c r="L31">
        <f t="shared" si="3"/>
        <v>0</v>
      </c>
    </row>
    <row r="32">
      <c r="A32">
        <f>Results!A31</f>
        <v>7</v>
      </c>
      <c r="B32" s="14">
        <f>Results!B31</f>
        <v>46193</v>
      </c>
      <c r="C32" s="15">
        <f>Results!C31</f>
        <v>0.0625</v>
      </c>
      <c r="D32" t="str">
        <f>Results!E31</f>
        <v>Brazil</v>
      </c>
      <c r="E32" s="9">
        <v>3.0</v>
      </c>
      <c r="F32" s="9">
        <v>0.0</v>
      </c>
      <c r="G32" t="str">
        <f>Results!H31</f>
        <v>Haiti</v>
      </c>
      <c r="H32">
        <f t="shared" si="1"/>
        <v>3</v>
      </c>
      <c r="I32">
        <f>if(Results!I31="-",0,IF(OR(AND(H32&gt;0,Results!J31&gt;0),AND(H32&lt;0,Results!J31&lt;0),AND(H32=0,Results!J31=0)),1,0))</f>
        <v>1</v>
      </c>
      <c r="J32">
        <f>IF(K32="-",0,if(K32=Results!I31,3,0))</f>
        <v>3</v>
      </c>
      <c r="K32" t="str">
        <f t="shared" si="2"/>
        <v>3-0</v>
      </c>
      <c r="L32">
        <f t="shared" si="3"/>
        <v>3</v>
      </c>
    </row>
    <row r="33">
      <c r="A33">
        <f>Results!A32</f>
        <v>7</v>
      </c>
      <c r="B33" s="14">
        <f>Results!B32</f>
        <v>46193</v>
      </c>
      <c r="C33" s="15">
        <f>Results!C32</f>
        <v>0.1666666667</v>
      </c>
      <c r="D33" t="str">
        <f>Results!E32</f>
        <v>Turkey</v>
      </c>
      <c r="E33" s="9">
        <v>2.0</v>
      </c>
      <c r="F33" s="9">
        <v>1.0</v>
      </c>
      <c r="G33" t="str">
        <f>Results!H32</f>
        <v>Paraguay</v>
      </c>
      <c r="H33">
        <f t="shared" si="1"/>
        <v>1</v>
      </c>
      <c r="I33">
        <f>if(Results!I32="-",0,IF(OR(AND(H33&gt;0,Results!J32&gt;0),AND(H33&lt;0,Results!J32&lt;0),AND(H33=0,Results!J32=0)),1,0))</f>
        <v>0</v>
      </c>
      <c r="J33">
        <f>IF(K33="-",0,if(K33=Results!I32,3,0))</f>
        <v>0</v>
      </c>
      <c r="K33" t="str">
        <f t="shared" si="2"/>
        <v>2-1</v>
      </c>
      <c r="L33">
        <f t="shared" si="3"/>
        <v>0</v>
      </c>
    </row>
    <row r="34">
      <c r="A34">
        <f>Results!A33</f>
        <v>7</v>
      </c>
      <c r="B34" s="14">
        <f>Results!B33</f>
        <v>46193</v>
      </c>
      <c r="C34" s="15">
        <f>Results!C33</f>
        <v>0.75</v>
      </c>
      <c r="D34" t="str">
        <f>Results!E33</f>
        <v>Netherlands</v>
      </c>
      <c r="E34" s="9">
        <v>2.0</v>
      </c>
      <c r="F34" s="9">
        <v>2.0</v>
      </c>
      <c r="G34" t="str">
        <f>Results!H33</f>
        <v>Sweden</v>
      </c>
      <c r="H34">
        <f t="shared" si="1"/>
        <v>0</v>
      </c>
      <c r="I34">
        <f>if(Results!I33="-",0,IF(OR(AND(H34&gt;0,Results!J33&gt;0),AND(H34&lt;0,Results!J33&lt;0),AND(H34=0,Results!J33=0)),1,0))</f>
        <v>0</v>
      </c>
      <c r="J34">
        <f>IF(K34="-",0,if(K34=Results!I33,3,0))</f>
        <v>0</v>
      </c>
      <c r="K34" t="str">
        <f t="shared" si="2"/>
        <v>2-2</v>
      </c>
      <c r="L34">
        <f t="shared" si="3"/>
        <v>0</v>
      </c>
    </row>
    <row r="35">
      <c r="A35">
        <f>Results!A34</f>
        <v>7</v>
      </c>
      <c r="B35" s="14">
        <f>Results!B34</f>
        <v>46193</v>
      </c>
      <c r="C35" s="15">
        <f>Results!C34</f>
        <v>0.875</v>
      </c>
      <c r="D35" t="str">
        <f>Results!E34</f>
        <v>Germany</v>
      </c>
      <c r="E35" s="9">
        <v>3.0</v>
      </c>
      <c r="F35" s="9">
        <v>1.0</v>
      </c>
      <c r="G35" t="str">
        <f>Results!H34</f>
        <v>Ivory Coast</v>
      </c>
      <c r="H35">
        <f t="shared" si="1"/>
        <v>2</v>
      </c>
      <c r="I35">
        <f>if(Results!I34="-",0,IF(OR(AND(H35&gt;0,Results!J34&gt;0),AND(H35&lt;0,Results!J34&lt;0),AND(H35=0,Results!J34=0)),1,0))</f>
        <v>0</v>
      </c>
      <c r="J35">
        <f>IF(K35="-",0,if(K35=Results!I34,3,0))</f>
        <v>0</v>
      </c>
      <c r="K35" t="str">
        <f t="shared" si="2"/>
        <v>3-1</v>
      </c>
      <c r="L35">
        <f t="shared" si="3"/>
        <v>0</v>
      </c>
    </row>
    <row r="36">
      <c r="A36">
        <f>Results!A35</f>
        <v>1</v>
      </c>
      <c r="B36" s="14">
        <f>Results!B35</f>
        <v>46194</v>
      </c>
      <c r="C36" s="15">
        <f>Results!C35</f>
        <v>0.04166666667</v>
      </c>
      <c r="D36" t="str">
        <f>Results!E35</f>
        <v>Ecuador</v>
      </c>
      <c r="E36" s="9">
        <v>2.0</v>
      </c>
      <c r="F36" s="9">
        <v>0.0</v>
      </c>
      <c r="G36" t="str">
        <f>Results!H35</f>
        <v>Curaçao</v>
      </c>
      <c r="H36">
        <f t="shared" si="1"/>
        <v>2</v>
      </c>
      <c r="I36">
        <f>if(Results!I35="-",0,IF(OR(AND(H36&gt;0,Results!J35&gt;0),AND(H36&lt;0,Results!J35&lt;0),AND(H36=0,Results!J35=0)),1,0))</f>
        <v>0</v>
      </c>
      <c r="J36">
        <f>IF(K36="-",0,if(K36=Results!I35,3,0))</f>
        <v>0</v>
      </c>
      <c r="K36" t="str">
        <f t="shared" si="2"/>
        <v>2-0</v>
      </c>
      <c r="L36">
        <f t="shared" si="3"/>
        <v>0</v>
      </c>
    </row>
    <row r="37">
      <c r="A37">
        <f>Results!A36</f>
        <v>1</v>
      </c>
      <c r="B37" s="14">
        <f>Results!B36</f>
        <v>46194</v>
      </c>
      <c r="C37" s="15">
        <f>Results!C36</f>
        <v>0.2083333333</v>
      </c>
      <c r="D37" t="str">
        <f>Results!E36</f>
        <v>Tunisia</v>
      </c>
      <c r="E37" s="9">
        <v>0.0</v>
      </c>
      <c r="F37" s="9">
        <v>2.0</v>
      </c>
      <c r="G37" t="str">
        <f>Results!H36</f>
        <v>Japan</v>
      </c>
      <c r="H37">
        <f t="shared" si="1"/>
        <v>-2</v>
      </c>
      <c r="I37">
        <f>if(Results!I36="-",0,IF(OR(AND(H37&gt;0,Results!J36&gt;0),AND(H37&lt;0,Results!J36&lt;0),AND(H37=0,Results!J36=0)),1,0))</f>
        <v>0</v>
      </c>
      <c r="J37">
        <f>IF(K37="-",0,if(K37=Results!I36,3,0))</f>
        <v>0</v>
      </c>
      <c r="K37" t="str">
        <f t="shared" si="2"/>
        <v>0-2</v>
      </c>
      <c r="L37">
        <f t="shared" si="3"/>
        <v>0</v>
      </c>
    </row>
    <row r="38">
      <c r="A38">
        <f>Results!A37</f>
        <v>1</v>
      </c>
      <c r="B38" s="14">
        <f>Results!B37</f>
        <v>46194</v>
      </c>
      <c r="C38" s="15">
        <f>Results!C37</f>
        <v>0.7083333333</v>
      </c>
      <c r="D38" t="str">
        <f>Results!E37</f>
        <v>Spain</v>
      </c>
      <c r="E38" s="9">
        <v>3.0</v>
      </c>
      <c r="F38" s="9">
        <v>1.0</v>
      </c>
      <c r="G38" t="str">
        <f>Results!H37</f>
        <v>Saudi Arabia</v>
      </c>
      <c r="H38">
        <f t="shared" si="1"/>
        <v>2</v>
      </c>
      <c r="I38">
        <f>if(Results!I37="-",0,IF(OR(AND(H38&gt;0,Results!J37&gt;0),AND(H38&lt;0,Results!J37&lt;0),AND(H38=0,Results!J37=0)),1,0))</f>
        <v>0</v>
      </c>
      <c r="J38">
        <f>IF(K38="-",0,if(K38=Results!I37,3,0))</f>
        <v>0</v>
      </c>
      <c r="K38" t="str">
        <f t="shared" si="2"/>
        <v>3-1</v>
      </c>
      <c r="L38">
        <f t="shared" si="3"/>
        <v>0</v>
      </c>
    </row>
    <row r="39">
      <c r="A39">
        <f>Results!A38</f>
        <v>1</v>
      </c>
      <c r="B39" s="14">
        <f>Results!B38</f>
        <v>46194</v>
      </c>
      <c r="C39" s="15">
        <f>Results!C38</f>
        <v>0.8333333333</v>
      </c>
      <c r="D39" t="str">
        <f>Results!E38</f>
        <v>Belgium</v>
      </c>
      <c r="E39" s="9">
        <v>2.0</v>
      </c>
      <c r="F39" s="9">
        <v>1.0</v>
      </c>
      <c r="G39" t="str">
        <f>Results!H38</f>
        <v>Iran</v>
      </c>
      <c r="H39">
        <f t="shared" si="1"/>
        <v>1</v>
      </c>
      <c r="I39">
        <f>if(Results!I38="-",0,IF(OR(AND(H39&gt;0,Results!J38&gt;0),AND(H39&lt;0,Results!J38&lt;0),AND(H39=0,Results!J38=0)),1,0))</f>
        <v>0</v>
      </c>
      <c r="J39">
        <f>IF(K39="-",0,if(K39=Results!I38,3,0))</f>
        <v>0</v>
      </c>
      <c r="K39" t="str">
        <f t="shared" si="2"/>
        <v>2-1</v>
      </c>
      <c r="L39">
        <f t="shared" si="3"/>
        <v>0</v>
      </c>
    </row>
    <row r="40">
      <c r="A40">
        <f>Results!A39</f>
        <v>1</v>
      </c>
      <c r="B40" s="14">
        <f>Results!B39</f>
        <v>46194</v>
      </c>
      <c r="C40" s="15">
        <f>Results!C39</f>
        <v>0.9583333333</v>
      </c>
      <c r="D40" t="str">
        <f>Results!E39</f>
        <v>Uruguay</v>
      </c>
      <c r="E40" s="9">
        <v>2.0</v>
      </c>
      <c r="F40" s="9">
        <v>0.0</v>
      </c>
      <c r="G40" t="str">
        <f>Results!H39</f>
        <v>Cape Verde</v>
      </c>
      <c r="H40">
        <f t="shared" si="1"/>
        <v>2</v>
      </c>
      <c r="I40">
        <f>if(Results!I39="-",0,IF(OR(AND(H40&gt;0,Results!J39&gt;0),AND(H40&lt;0,Results!J39&lt;0),AND(H40=0,Results!J39=0)),1,0))</f>
        <v>0</v>
      </c>
      <c r="J40">
        <f>IF(K40="-",0,if(K40=Results!I39,3,0))</f>
        <v>0</v>
      </c>
      <c r="K40" t="str">
        <f t="shared" si="2"/>
        <v>2-0</v>
      </c>
      <c r="L40">
        <f t="shared" si="3"/>
        <v>0</v>
      </c>
    </row>
    <row r="41">
      <c r="A41">
        <f>Results!A40</f>
        <v>2</v>
      </c>
      <c r="B41" s="14">
        <f>Results!B40</f>
        <v>46195</v>
      </c>
      <c r="C41" s="15">
        <f>Results!C40</f>
        <v>0.08333333333</v>
      </c>
      <c r="D41" t="str">
        <f>Results!E40</f>
        <v>New Zealand</v>
      </c>
      <c r="E41" s="9">
        <v>0.0</v>
      </c>
      <c r="F41" s="9">
        <v>1.0</v>
      </c>
      <c r="G41" t="str">
        <f>Results!H40</f>
        <v>Egypt</v>
      </c>
      <c r="H41">
        <f t="shared" si="1"/>
        <v>-1</v>
      </c>
      <c r="I41">
        <f>if(Results!I40="-",0,IF(OR(AND(H41&gt;0,Results!J40&gt;0),AND(H41&lt;0,Results!J40&lt;0),AND(H41=0,Results!J40=0)),1,0))</f>
        <v>0</v>
      </c>
      <c r="J41">
        <f>IF(K41="-",0,if(K41=Results!I40,3,0))</f>
        <v>0</v>
      </c>
      <c r="K41" t="str">
        <f t="shared" si="2"/>
        <v>0-1</v>
      </c>
      <c r="L41">
        <f t="shared" si="3"/>
        <v>0</v>
      </c>
    </row>
    <row r="42">
      <c r="A42">
        <f>Results!A41</f>
        <v>2</v>
      </c>
      <c r="B42" s="14">
        <f>Results!B41</f>
        <v>46195</v>
      </c>
      <c r="C42" s="15">
        <f>Results!C41</f>
        <v>0.7916666667</v>
      </c>
      <c r="D42" t="str">
        <f>Results!E41</f>
        <v>Argentina</v>
      </c>
      <c r="E42" s="9">
        <v>2.0</v>
      </c>
      <c r="F42" s="9">
        <v>1.0</v>
      </c>
      <c r="G42" t="str">
        <f>Results!H41</f>
        <v>Austria</v>
      </c>
      <c r="H42">
        <f t="shared" si="1"/>
        <v>1</v>
      </c>
      <c r="I42">
        <f>if(Results!I41="-",0,IF(OR(AND(H42&gt;0,Results!J41&gt;0),AND(H42&lt;0,Results!J41&lt;0),AND(H42=0,Results!J41=0)),1,0))</f>
        <v>0</v>
      </c>
      <c r="J42">
        <f>IF(K42="-",0,if(K42=Results!I41,3,0))</f>
        <v>0</v>
      </c>
      <c r="K42" t="str">
        <f t="shared" si="2"/>
        <v>2-1</v>
      </c>
      <c r="L42">
        <f t="shared" si="3"/>
        <v>0</v>
      </c>
    </row>
    <row r="43">
      <c r="A43">
        <f>Results!A42</f>
        <v>2</v>
      </c>
      <c r="B43" s="14">
        <f>Results!B42</f>
        <v>46195</v>
      </c>
      <c r="C43" s="15">
        <f>Results!C42</f>
        <v>0.9583333333</v>
      </c>
      <c r="D43" t="str">
        <f>Results!E42</f>
        <v>France</v>
      </c>
      <c r="E43" s="9">
        <v>3.0</v>
      </c>
      <c r="F43" s="9">
        <v>0.0</v>
      </c>
      <c r="G43" t="str">
        <f>Results!H42</f>
        <v>Iraq</v>
      </c>
      <c r="H43">
        <f t="shared" si="1"/>
        <v>3</v>
      </c>
      <c r="I43">
        <f>if(Results!I42="-",0,IF(OR(AND(H43&gt;0,Results!J42&gt;0),AND(H43&lt;0,Results!J42&lt;0),AND(H43=0,Results!J42=0)),1,0))</f>
        <v>0</v>
      </c>
      <c r="J43">
        <f>IF(K43="-",0,if(K43=Results!I42,3,0))</f>
        <v>0</v>
      </c>
      <c r="K43" t="str">
        <f t="shared" si="2"/>
        <v>3-0</v>
      </c>
      <c r="L43">
        <f t="shared" si="3"/>
        <v>0</v>
      </c>
    </row>
    <row r="44">
      <c r="A44">
        <f>Results!A43</f>
        <v>3</v>
      </c>
      <c r="B44" s="14">
        <f>Results!B43</f>
        <v>46196</v>
      </c>
      <c r="C44" s="15">
        <f>Results!C43</f>
        <v>0.08333333333</v>
      </c>
      <c r="D44" t="str">
        <f>Results!E43</f>
        <v>Norway</v>
      </c>
      <c r="E44" s="9">
        <v>2.0</v>
      </c>
      <c r="F44" s="9">
        <v>1.0</v>
      </c>
      <c r="G44" t="str">
        <f>Results!H43</f>
        <v>Senegal</v>
      </c>
      <c r="H44">
        <f t="shared" si="1"/>
        <v>1</v>
      </c>
      <c r="I44">
        <f>if(Results!I43="-",0,IF(OR(AND(H44&gt;0,Results!J43&gt;0),AND(H44&lt;0,Results!J43&lt;0),AND(H44=0,Results!J43=0)),1,0))</f>
        <v>0</v>
      </c>
      <c r="J44">
        <f>IF(K44="-",0,if(K44=Results!I43,3,0))</f>
        <v>0</v>
      </c>
      <c r="K44" t="str">
        <f t="shared" si="2"/>
        <v>2-1</v>
      </c>
      <c r="L44">
        <f t="shared" si="3"/>
        <v>0</v>
      </c>
    </row>
    <row r="45">
      <c r="A45">
        <f>Results!A44</f>
        <v>3</v>
      </c>
      <c r="B45" s="14">
        <f>Results!B44</f>
        <v>46196</v>
      </c>
      <c r="C45" s="15">
        <f>Results!C44</f>
        <v>0.2083333333</v>
      </c>
      <c r="D45" t="str">
        <f>Results!E44</f>
        <v>Jordan</v>
      </c>
      <c r="E45" s="9">
        <v>0.0</v>
      </c>
      <c r="F45" s="9">
        <v>1.0</v>
      </c>
      <c r="G45" t="str">
        <f>Results!H44</f>
        <v>Algeria</v>
      </c>
      <c r="H45">
        <f t="shared" si="1"/>
        <v>-1</v>
      </c>
      <c r="I45">
        <f>if(Results!I44="-",0,IF(OR(AND(H45&gt;0,Results!J44&gt;0),AND(H45&lt;0,Results!J44&lt;0),AND(H45=0,Results!J44=0)),1,0))</f>
        <v>0</v>
      </c>
      <c r="J45">
        <f>IF(K45="-",0,if(K45=Results!I44,3,0))</f>
        <v>0</v>
      </c>
      <c r="K45" t="str">
        <f t="shared" si="2"/>
        <v>0-1</v>
      </c>
      <c r="L45">
        <f t="shared" si="3"/>
        <v>0</v>
      </c>
    </row>
    <row r="46">
      <c r="A46">
        <f>Results!A45</f>
        <v>3</v>
      </c>
      <c r="B46" s="14">
        <f>Results!B45</f>
        <v>46196</v>
      </c>
      <c r="C46" s="15">
        <f>Results!C45</f>
        <v>0.7916666667</v>
      </c>
      <c r="D46" t="str">
        <f>Results!E45</f>
        <v>Portugal</v>
      </c>
      <c r="E46" s="9">
        <v>2.0</v>
      </c>
      <c r="F46" s="9">
        <v>0.0</v>
      </c>
      <c r="G46" t="str">
        <f>Results!H45</f>
        <v>Uzbekistan</v>
      </c>
      <c r="H46">
        <f t="shared" si="1"/>
        <v>2</v>
      </c>
      <c r="I46">
        <f>if(Results!I45="-",0,IF(OR(AND(H46&gt;0,Results!J45&gt;0),AND(H46&lt;0,Results!J45&lt;0),AND(H46=0,Results!J45=0)),1,0))</f>
        <v>0</v>
      </c>
      <c r="J46">
        <f>IF(K46="-",0,if(K46=Results!I45,3,0))</f>
        <v>0</v>
      </c>
      <c r="K46" t="str">
        <f t="shared" si="2"/>
        <v>2-0</v>
      </c>
      <c r="L46">
        <f t="shared" si="3"/>
        <v>0</v>
      </c>
    </row>
    <row r="47">
      <c r="A47">
        <f>Results!A46</f>
        <v>3</v>
      </c>
      <c r="B47" s="14">
        <f>Results!B46</f>
        <v>46196</v>
      </c>
      <c r="C47" s="15">
        <f>Results!C46</f>
        <v>0.9166666667</v>
      </c>
      <c r="D47" t="str">
        <f>Results!E46</f>
        <v>England</v>
      </c>
      <c r="E47" s="9">
        <v>3.0</v>
      </c>
      <c r="F47" s="9">
        <v>0.0</v>
      </c>
      <c r="G47" t="str">
        <f>Results!H46</f>
        <v>Ghana</v>
      </c>
      <c r="H47">
        <f t="shared" si="1"/>
        <v>3</v>
      </c>
      <c r="I47">
        <f>if(Results!I46="-",0,IF(OR(AND(H47&gt;0,Results!J46&gt;0),AND(H47&lt;0,Results!J46&lt;0),AND(H47=0,Results!J46=0)),1,0))</f>
        <v>0</v>
      </c>
      <c r="J47">
        <f>IF(K47="-",0,if(K47=Results!I46,3,0))</f>
        <v>0</v>
      </c>
      <c r="K47" t="str">
        <f t="shared" si="2"/>
        <v>3-0</v>
      </c>
      <c r="L47">
        <f t="shared" si="3"/>
        <v>0</v>
      </c>
    </row>
    <row r="48">
      <c r="A48">
        <f>Results!A47</f>
        <v>4</v>
      </c>
      <c r="B48" s="14">
        <f>Results!B47</f>
        <v>46197</v>
      </c>
      <c r="C48" s="15">
        <f>Results!C47</f>
        <v>0.04166666667</v>
      </c>
      <c r="D48" t="str">
        <f>Results!E47</f>
        <v>Panama</v>
      </c>
      <c r="E48" s="9">
        <v>0.0</v>
      </c>
      <c r="F48" s="9">
        <v>2.0</v>
      </c>
      <c r="G48" t="str">
        <f>Results!H47</f>
        <v>Croatia</v>
      </c>
      <c r="H48">
        <f t="shared" si="1"/>
        <v>-2</v>
      </c>
      <c r="I48">
        <f>if(Results!I47="-",0,IF(OR(AND(H48&gt;0,Results!J47&gt;0),AND(H48&lt;0,Results!J47&lt;0),AND(H48=0,Results!J47=0)),1,0))</f>
        <v>0</v>
      </c>
      <c r="J48">
        <f>IF(K48="-",0,if(K48=Results!I47,3,0))</f>
        <v>0</v>
      </c>
      <c r="K48" t="str">
        <f t="shared" si="2"/>
        <v>0-2</v>
      </c>
      <c r="L48">
        <f t="shared" si="3"/>
        <v>0</v>
      </c>
    </row>
    <row r="49">
      <c r="A49">
        <f>Results!A48</f>
        <v>4</v>
      </c>
      <c r="B49" s="14">
        <f>Results!B48</f>
        <v>46197</v>
      </c>
      <c r="C49" s="15">
        <f>Results!C48</f>
        <v>0.1666666667</v>
      </c>
      <c r="D49" t="str">
        <f>Results!E48</f>
        <v>Colombia</v>
      </c>
      <c r="E49" s="9">
        <v>2.0</v>
      </c>
      <c r="F49" s="9">
        <v>1.0</v>
      </c>
      <c r="G49" t="str">
        <f>Results!H48</f>
        <v>DR Congo</v>
      </c>
      <c r="H49">
        <f t="shared" si="1"/>
        <v>1</v>
      </c>
      <c r="I49">
        <f>if(Results!I48="-",0,IF(OR(AND(H49&gt;0,Results!J48&gt;0),AND(H49&lt;0,Results!J48&lt;0),AND(H49=0,Results!J48=0)),1,0))</f>
        <v>0</v>
      </c>
      <c r="J49">
        <f>IF(K49="-",0,if(K49=Results!I48,3,0))</f>
        <v>0</v>
      </c>
      <c r="K49" t="str">
        <f t="shared" si="2"/>
        <v>2-1</v>
      </c>
      <c r="L49">
        <f t="shared" si="3"/>
        <v>0</v>
      </c>
    </row>
    <row r="50">
      <c r="A50">
        <f>Results!A49</f>
        <v>4</v>
      </c>
      <c r="B50" s="14">
        <f>Results!B49</f>
        <v>46197</v>
      </c>
      <c r="C50" s="15">
        <f>Results!C49</f>
        <v>0.75</v>
      </c>
      <c r="D50" t="str">
        <f>Results!E49</f>
        <v>Morocco</v>
      </c>
      <c r="G50" t="str">
        <f>Results!H49</f>
        <v>Haiti</v>
      </c>
      <c r="H50">
        <f t="shared" si="1"/>
        <v>0</v>
      </c>
      <c r="I50">
        <f>if(Results!I49="-",0,IF(OR(AND(H50&gt;0,Results!J49&gt;0),AND(H50&lt;0,Results!J49&lt;0),AND(H50=0,Results!J49=0)),1,0))</f>
        <v>0</v>
      </c>
      <c r="J50">
        <f>IF(K50="-",0,if(K50=Results!I49,3,0))</f>
        <v>0</v>
      </c>
      <c r="K50" t="str">
        <f t="shared" si="2"/>
        <v>-</v>
      </c>
      <c r="L50">
        <f t="shared" si="3"/>
        <v>0</v>
      </c>
    </row>
    <row r="51">
      <c r="A51">
        <f>Results!A50</f>
        <v>4</v>
      </c>
      <c r="B51" s="14">
        <f>Results!B50</f>
        <v>46197</v>
      </c>
      <c r="C51" s="15">
        <f>Results!C50</f>
        <v>0.75</v>
      </c>
      <c r="D51" t="str">
        <f>Results!E50</f>
        <v>Scotland</v>
      </c>
      <c r="G51" t="str">
        <f>Results!H50</f>
        <v>Brazil</v>
      </c>
      <c r="H51">
        <f t="shared" si="1"/>
        <v>0</v>
      </c>
      <c r="I51">
        <f>if(Results!I50="-",0,IF(OR(AND(H51&gt;0,Results!J50&gt;0),AND(H51&lt;0,Results!J50&lt;0),AND(H51=0,Results!J50=0)),1,0))</f>
        <v>0</v>
      </c>
      <c r="J51">
        <f>IF(K51="-",0,if(K51=Results!I50,3,0))</f>
        <v>0</v>
      </c>
      <c r="K51" t="str">
        <f t="shared" si="2"/>
        <v>-</v>
      </c>
      <c r="L51">
        <f t="shared" si="3"/>
        <v>0</v>
      </c>
    </row>
    <row r="52">
      <c r="A52">
        <f>Results!A51</f>
        <v>4</v>
      </c>
      <c r="B52" s="14">
        <f>Results!B51</f>
        <v>46197</v>
      </c>
      <c r="C52" s="15">
        <f>Results!C51</f>
        <v>0.875</v>
      </c>
      <c r="D52" t="str">
        <f>Results!E51</f>
        <v>Canada</v>
      </c>
      <c r="G52" t="str">
        <f>Results!H51</f>
        <v>Switzerland</v>
      </c>
      <c r="H52">
        <f t="shared" si="1"/>
        <v>0</v>
      </c>
      <c r="I52">
        <f>if(Results!I51="-",0,IF(OR(AND(H52&gt;0,Results!J51&gt;0),AND(H52&lt;0,Results!J51&lt;0),AND(H52=0,Results!J51=0)),1,0))</f>
        <v>0</v>
      </c>
      <c r="J52">
        <f>IF(K52="-",0,if(K52=Results!I51,3,0))</f>
        <v>0</v>
      </c>
      <c r="K52" t="str">
        <f t="shared" si="2"/>
        <v>-</v>
      </c>
      <c r="L52">
        <f t="shared" si="3"/>
        <v>0</v>
      </c>
    </row>
    <row r="53">
      <c r="A53">
        <f>Results!A52</f>
        <v>4</v>
      </c>
      <c r="B53" s="14">
        <f>Results!B52</f>
        <v>46197</v>
      </c>
      <c r="C53" s="15">
        <f>Results!C52</f>
        <v>0.875</v>
      </c>
      <c r="D53" t="str">
        <f>Results!E52</f>
        <v>Bosnia and Herzegovina</v>
      </c>
      <c r="G53" t="str">
        <f>Results!H52</f>
        <v>Qatar</v>
      </c>
      <c r="H53">
        <f t="shared" si="1"/>
        <v>0</v>
      </c>
      <c r="I53">
        <f>if(Results!I52="-",0,IF(OR(AND(H53&gt;0,Results!J52&gt;0),AND(H53&lt;0,Results!J52&lt;0),AND(H53=0,Results!J52=0)),1,0))</f>
        <v>0</v>
      </c>
      <c r="J53">
        <f>IF(K53="-",0,if(K53=Results!I52,3,0))</f>
        <v>0</v>
      </c>
      <c r="K53" t="str">
        <f t="shared" si="2"/>
        <v>-</v>
      </c>
      <c r="L53">
        <f t="shared" si="3"/>
        <v>0</v>
      </c>
    </row>
    <row r="54">
      <c r="A54">
        <f>Results!A53</f>
        <v>5</v>
      </c>
      <c r="B54" s="14">
        <f>Results!B53</f>
        <v>46198</v>
      </c>
      <c r="C54" s="15">
        <f>Results!C53</f>
        <v>0.08333333333</v>
      </c>
      <c r="D54" t="str">
        <f>Results!E53</f>
        <v>Mexico</v>
      </c>
      <c r="G54" t="str">
        <f>Results!H53</f>
        <v>Czechia</v>
      </c>
      <c r="H54">
        <f t="shared" si="1"/>
        <v>0</v>
      </c>
      <c r="I54">
        <f>if(Results!I53="-",0,IF(OR(AND(H54&gt;0,Results!J53&gt;0),AND(H54&lt;0,Results!J53&lt;0),AND(H54=0,Results!J53=0)),1,0))</f>
        <v>0</v>
      </c>
      <c r="J54">
        <f>IF(K54="-",0,if(K54=Results!I53,3,0))</f>
        <v>0</v>
      </c>
      <c r="K54" t="str">
        <f t="shared" si="2"/>
        <v>-</v>
      </c>
      <c r="L54">
        <f t="shared" si="3"/>
        <v>0</v>
      </c>
    </row>
    <row r="55">
      <c r="A55">
        <f>Results!A54</f>
        <v>5</v>
      </c>
      <c r="B55" s="14">
        <f>Results!B54</f>
        <v>46198</v>
      </c>
      <c r="C55" s="15">
        <f>Results!C54</f>
        <v>0.08333333333</v>
      </c>
      <c r="D55" t="str">
        <f>Results!E54</f>
        <v>South Korea</v>
      </c>
      <c r="G55" t="str">
        <f>Results!H54</f>
        <v>South Africa</v>
      </c>
      <c r="H55">
        <f t="shared" si="1"/>
        <v>0</v>
      </c>
      <c r="I55">
        <f>if(Results!I54="-",0,IF(OR(AND(H55&gt;0,Results!J54&gt;0),AND(H55&lt;0,Results!J54&lt;0),AND(H55=0,Results!J54=0)),1,0))</f>
        <v>0</v>
      </c>
      <c r="J55">
        <f>IF(K55="-",0,if(K55=Results!I54,3,0))</f>
        <v>0</v>
      </c>
      <c r="K55" t="str">
        <f t="shared" si="2"/>
        <v>-</v>
      </c>
      <c r="L55">
        <f t="shared" si="3"/>
        <v>0</v>
      </c>
    </row>
    <row r="56">
      <c r="A56">
        <f>Results!A55</f>
        <v>5</v>
      </c>
      <c r="B56" s="14">
        <f>Results!B55</f>
        <v>46198</v>
      </c>
      <c r="C56" s="15">
        <f>Results!C55</f>
        <v>0.75</v>
      </c>
      <c r="D56" t="str">
        <f>Results!E55</f>
        <v>Ecuador</v>
      </c>
      <c r="G56" t="str">
        <f>Results!H55</f>
        <v>Germany</v>
      </c>
      <c r="H56">
        <f t="shared" si="1"/>
        <v>0</v>
      </c>
      <c r="I56">
        <f>if(Results!I55="-",0,IF(OR(AND(H56&gt;0,Results!J55&gt;0),AND(H56&lt;0,Results!J55&lt;0),AND(H56=0,Results!J55=0)),1,0))</f>
        <v>0</v>
      </c>
      <c r="J56">
        <f>IF(K56="-",0,if(K56=Results!I55,3,0))</f>
        <v>0</v>
      </c>
      <c r="K56" t="str">
        <f t="shared" si="2"/>
        <v>-</v>
      </c>
      <c r="L56">
        <f t="shared" si="3"/>
        <v>0</v>
      </c>
    </row>
    <row r="57">
      <c r="A57">
        <f>Results!A56</f>
        <v>5</v>
      </c>
      <c r="B57" s="14">
        <f>Results!B56</f>
        <v>46198</v>
      </c>
      <c r="C57" s="15">
        <f>Results!C56</f>
        <v>0.75</v>
      </c>
      <c r="D57" t="str">
        <f>Results!E56</f>
        <v>Curaçao</v>
      </c>
      <c r="G57" t="str">
        <f>Results!H56</f>
        <v>Ivory Coast</v>
      </c>
      <c r="H57">
        <f t="shared" si="1"/>
        <v>0</v>
      </c>
      <c r="I57">
        <f>if(Results!I56="-",0,IF(OR(AND(H57&gt;0,Results!J56&gt;0),AND(H57&lt;0,Results!J56&lt;0),AND(H57=0,Results!J56=0)),1,0))</f>
        <v>0</v>
      </c>
      <c r="J57">
        <f>IF(K57="-",0,if(K57=Results!I56,3,0))</f>
        <v>0</v>
      </c>
      <c r="K57" t="str">
        <f t="shared" si="2"/>
        <v>-</v>
      </c>
      <c r="L57">
        <f t="shared" si="3"/>
        <v>0</v>
      </c>
    </row>
    <row r="58">
      <c r="A58">
        <f>Results!A57</f>
        <v>5</v>
      </c>
      <c r="B58" s="14">
        <f>Results!B57</f>
        <v>46198</v>
      </c>
      <c r="C58" s="15">
        <f>Results!C57</f>
        <v>0.875</v>
      </c>
      <c r="D58" t="str">
        <f>Results!E57</f>
        <v>Tunisia</v>
      </c>
      <c r="G58" t="str">
        <f>Results!H57</f>
        <v>Netherlands</v>
      </c>
      <c r="H58">
        <f t="shared" si="1"/>
        <v>0</v>
      </c>
      <c r="I58">
        <f>if(Results!I57="-",0,IF(OR(AND(H58&gt;0,Results!J57&gt;0),AND(H58&lt;0,Results!J57&lt;0),AND(H58=0,Results!J57=0)),1,0))</f>
        <v>0</v>
      </c>
      <c r="J58">
        <f>IF(K58="-",0,if(K58=Results!I57,3,0))</f>
        <v>0</v>
      </c>
      <c r="K58" t="str">
        <f t="shared" si="2"/>
        <v>-</v>
      </c>
      <c r="L58">
        <f t="shared" si="3"/>
        <v>0</v>
      </c>
    </row>
    <row r="59">
      <c r="A59">
        <f>Results!A58</f>
        <v>5</v>
      </c>
      <c r="B59" s="14">
        <f>Results!B58</f>
        <v>46198</v>
      </c>
      <c r="C59" s="15">
        <f>Results!C58</f>
        <v>0.875</v>
      </c>
      <c r="D59" t="str">
        <f>Results!E58</f>
        <v>Japan</v>
      </c>
      <c r="G59" t="str">
        <f>Results!H58</f>
        <v>Sweden</v>
      </c>
      <c r="H59">
        <f t="shared" si="1"/>
        <v>0</v>
      </c>
      <c r="I59">
        <f>if(Results!I58="-",0,IF(OR(AND(H59&gt;0,Results!J58&gt;0),AND(H59&lt;0,Results!J58&lt;0),AND(H59=0,Results!J58=0)),1,0))</f>
        <v>0</v>
      </c>
      <c r="J59">
        <f>IF(K59="-",0,if(K59=Results!I58,3,0))</f>
        <v>0</v>
      </c>
      <c r="K59" t="str">
        <f t="shared" si="2"/>
        <v>-</v>
      </c>
      <c r="L59">
        <f t="shared" si="3"/>
        <v>0</v>
      </c>
    </row>
    <row r="60">
      <c r="A60">
        <f>Results!A59</f>
        <v>6</v>
      </c>
      <c r="B60" s="14">
        <f>Results!B59</f>
        <v>46199</v>
      </c>
      <c r="C60" s="15">
        <f>Results!C59</f>
        <v>0.04166666667</v>
      </c>
      <c r="D60" t="str">
        <f>Results!E59</f>
        <v>USA</v>
      </c>
      <c r="G60" t="str">
        <f>Results!H59</f>
        <v>Türkiye</v>
      </c>
      <c r="H60">
        <f t="shared" si="1"/>
        <v>0</v>
      </c>
      <c r="I60">
        <f>if(Results!I59="-",0,IF(OR(AND(H60&gt;0,Results!J59&gt;0),AND(H60&lt;0,Results!J59&lt;0),AND(H60=0,Results!J59=0)),1,0))</f>
        <v>0</v>
      </c>
      <c r="J60">
        <f>IF(K60="-",0,if(K60=Results!I59,3,0))</f>
        <v>0</v>
      </c>
      <c r="K60" t="str">
        <f t="shared" si="2"/>
        <v>-</v>
      </c>
      <c r="L60">
        <f t="shared" si="3"/>
        <v>0</v>
      </c>
    </row>
    <row r="61">
      <c r="A61">
        <f>Results!A60</f>
        <v>6</v>
      </c>
      <c r="B61" s="14">
        <f>Results!B60</f>
        <v>46199</v>
      </c>
      <c r="C61" s="15">
        <f>Results!C60</f>
        <v>0.04166666667</v>
      </c>
      <c r="D61" t="str">
        <f>Results!E60</f>
        <v>Paraguay</v>
      </c>
      <c r="G61" t="str">
        <f>Results!H60</f>
        <v>Australia</v>
      </c>
      <c r="H61">
        <f t="shared" si="1"/>
        <v>0</v>
      </c>
      <c r="I61">
        <f>if(Results!I60="-",0,IF(OR(AND(H61&gt;0,Results!J60&gt;0),AND(H61&lt;0,Results!J60&lt;0),AND(H61=0,Results!J60=0)),1,0))</f>
        <v>0</v>
      </c>
      <c r="J61">
        <f>IF(K61="-",0,if(K61=Results!I60,3,0))</f>
        <v>0</v>
      </c>
      <c r="K61" t="str">
        <f t="shared" si="2"/>
        <v>-</v>
      </c>
      <c r="L61">
        <f t="shared" si="3"/>
        <v>0</v>
      </c>
    </row>
    <row r="62">
      <c r="A62">
        <f>Results!A61</f>
        <v>6</v>
      </c>
      <c r="B62" s="14">
        <f>Results!B61</f>
        <v>46199</v>
      </c>
      <c r="C62" s="15">
        <f>Results!C61</f>
        <v>0.75</v>
      </c>
      <c r="D62" t="str">
        <f>Results!E61</f>
        <v>Belgium</v>
      </c>
      <c r="G62" t="str">
        <f>Results!H61</f>
        <v>New Zealand</v>
      </c>
      <c r="H62">
        <f t="shared" si="1"/>
        <v>0</v>
      </c>
      <c r="I62">
        <f>if(Results!I61="-",0,IF(OR(AND(H62&gt;0,Results!J61&gt;0),AND(H62&lt;0,Results!J61&lt;0),AND(H62=0,Results!J61=0)),1,0))</f>
        <v>0</v>
      </c>
      <c r="J62">
        <f>IF(K62="-",0,if(K62=Results!I61,3,0))</f>
        <v>0</v>
      </c>
      <c r="K62" t="str">
        <f t="shared" si="2"/>
        <v>-</v>
      </c>
      <c r="L62">
        <f t="shared" si="3"/>
        <v>0</v>
      </c>
    </row>
    <row r="63">
      <c r="A63">
        <f>Results!A62</f>
        <v>6</v>
      </c>
      <c r="B63" s="14">
        <f>Results!B62</f>
        <v>46199</v>
      </c>
      <c r="C63" s="15">
        <f>Results!C62</f>
        <v>0.75</v>
      </c>
      <c r="D63" t="str">
        <f>Results!E62</f>
        <v>Egypt</v>
      </c>
      <c r="G63" t="str">
        <f>Results!H62</f>
        <v>Iran</v>
      </c>
      <c r="H63">
        <f t="shared" si="1"/>
        <v>0</v>
      </c>
      <c r="I63">
        <f>if(Results!I62="-",0,IF(OR(AND(H63&gt;0,Results!J62&gt;0),AND(H63&lt;0,Results!J62&lt;0),AND(H63=0,Results!J62=0)),1,0))</f>
        <v>0</v>
      </c>
      <c r="J63">
        <f>IF(K63="-",0,if(K63=Results!I62,3,0))</f>
        <v>0</v>
      </c>
      <c r="K63" t="str">
        <f t="shared" si="2"/>
        <v>-</v>
      </c>
      <c r="L63">
        <f t="shared" si="3"/>
        <v>0</v>
      </c>
    </row>
    <row r="64">
      <c r="A64">
        <f>Results!A63</f>
        <v>6</v>
      </c>
      <c r="B64" s="14">
        <f>Results!B63</f>
        <v>46199</v>
      </c>
      <c r="C64" s="15">
        <f>Results!C63</f>
        <v>0.875</v>
      </c>
      <c r="D64" t="str">
        <f>Results!E63</f>
        <v>Spain</v>
      </c>
      <c r="G64" t="str">
        <f>Results!H63</f>
        <v>Uruguay</v>
      </c>
      <c r="H64">
        <f t="shared" si="1"/>
        <v>0</v>
      </c>
      <c r="I64">
        <f>if(Results!I63="-",0,IF(OR(AND(H64&gt;0,Results!J63&gt;0),AND(H64&lt;0,Results!J63&lt;0),AND(H64=0,Results!J63=0)),1,0))</f>
        <v>0</v>
      </c>
      <c r="J64">
        <f>IF(K64="-",0,if(K64=Results!I63,3,0))</f>
        <v>0</v>
      </c>
      <c r="K64" t="str">
        <f t="shared" si="2"/>
        <v>-</v>
      </c>
      <c r="L64">
        <f t="shared" si="3"/>
        <v>0</v>
      </c>
    </row>
    <row r="65">
      <c r="A65">
        <f>Results!A64</f>
        <v>6</v>
      </c>
      <c r="B65" s="14">
        <f>Results!B64</f>
        <v>46199</v>
      </c>
      <c r="C65" s="15">
        <f>Results!C64</f>
        <v>0.875</v>
      </c>
      <c r="D65" t="str">
        <f>Results!E64</f>
        <v>Cape Verde</v>
      </c>
      <c r="G65" t="str">
        <f>Results!H64</f>
        <v>Saudi Arabia</v>
      </c>
      <c r="H65">
        <f t="shared" si="1"/>
        <v>0</v>
      </c>
      <c r="I65">
        <f>if(Results!I64="-",0,IF(OR(AND(H65&gt;0,Results!J64&gt;0),AND(H65&lt;0,Results!J64&lt;0),AND(H65=0,Results!J64=0)),1,0))</f>
        <v>0</v>
      </c>
      <c r="J65">
        <f>IF(K65="-",0,if(K65=Results!I64,3,0))</f>
        <v>0</v>
      </c>
      <c r="K65" t="str">
        <f t="shared" si="2"/>
        <v>-</v>
      </c>
      <c r="L65">
        <f t="shared" si="3"/>
        <v>0</v>
      </c>
    </row>
    <row r="66">
      <c r="A66">
        <f>Results!A65</f>
        <v>7</v>
      </c>
      <c r="B66" s="14">
        <f>Results!B65</f>
        <v>46200</v>
      </c>
      <c r="C66" s="15">
        <f>Results!C65</f>
        <v>0.04166666667</v>
      </c>
      <c r="D66" t="str">
        <f>Results!E65</f>
        <v>France</v>
      </c>
      <c r="G66" t="str">
        <f>Results!H65</f>
        <v>Norway</v>
      </c>
      <c r="H66">
        <f t="shared" si="1"/>
        <v>0</v>
      </c>
      <c r="I66">
        <f>if(Results!I65="-",0,IF(OR(AND(H66&gt;0,Results!J65&gt;0),AND(H66&lt;0,Results!J65&lt;0),AND(H66=0,Results!J65=0)),1,0))</f>
        <v>0</v>
      </c>
      <c r="J66">
        <f>IF(K66="-",0,if(K66=Results!I65,3,0))</f>
        <v>0</v>
      </c>
      <c r="K66" t="str">
        <f t="shared" si="2"/>
        <v>-</v>
      </c>
      <c r="L66">
        <f t="shared" si="3"/>
        <v>0</v>
      </c>
    </row>
    <row r="67">
      <c r="A67">
        <f>Results!A66</f>
        <v>7</v>
      </c>
      <c r="B67" s="14">
        <f>Results!B66</f>
        <v>46200</v>
      </c>
      <c r="C67" s="15">
        <f>Results!C66</f>
        <v>0.04166666667</v>
      </c>
      <c r="D67" t="str">
        <f>Results!E66</f>
        <v>Senegal</v>
      </c>
      <c r="G67" t="str">
        <f>Results!H66</f>
        <v>Iraq</v>
      </c>
      <c r="H67">
        <f t="shared" si="1"/>
        <v>0</v>
      </c>
      <c r="I67">
        <f>if(Results!I66="-",0,IF(OR(AND(H67&gt;0,Results!J66&gt;0),AND(H67&lt;0,Results!J66&lt;0),AND(H67=0,Results!J66=0)),1,0))</f>
        <v>0</v>
      </c>
      <c r="J67">
        <f>IF(K67="-",0,if(K67=Results!I66,3,0))</f>
        <v>0</v>
      </c>
      <c r="K67" t="str">
        <f t="shared" si="2"/>
        <v>-</v>
      </c>
      <c r="L67">
        <f t="shared" si="3"/>
        <v>0</v>
      </c>
    </row>
    <row r="68">
      <c r="A68">
        <f>Results!A67</f>
        <v>7</v>
      </c>
      <c r="B68" s="14">
        <f>Results!B67</f>
        <v>46200</v>
      </c>
      <c r="C68" s="15">
        <f>Results!C67</f>
        <v>0.75</v>
      </c>
      <c r="D68" t="str">
        <f>Results!E67</f>
        <v>Jordan</v>
      </c>
      <c r="G68" t="str">
        <f>Results!H67</f>
        <v>Argentina</v>
      </c>
      <c r="H68">
        <f t="shared" si="1"/>
        <v>0</v>
      </c>
      <c r="I68">
        <f>if(Results!I67="-",0,IF(OR(AND(H68&gt;0,Results!J67&gt;0),AND(H68&lt;0,Results!J67&lt;0),AND(H68=0,Results!J67=0)),1,0))</f>
        <v>0</v>
      </c>
      <c r="J68">
        <f>IF(K68="-",0,if(K68=Results!I67,3,0))</f>
        <v>0</v>
      </c>
      <c r="K68" t="str">
        <f t="shared" si="2"/>
        <v>-</v>
      </c>
      <c r="L68">
        <f t="shared" si="3"/>
        <v>0</v>
      </c>
    </row>
    <row r="69">
      <c r="A69">
        <f>Results!A68</f>
        <v>7</v>
      </c>
      <c r="B69" s="14">
        <f>Results!B68</f>
        <v>46200</v>
      </c>
      <c r="C69" s="15">
        <f>Results!C68</f>
        <v>0.75</v>
      </c>
      <c r="D69" t="str">
        <f>Results!E68</f>
        <v>Algeria</v>
      </c>
      <c r="G69" t="str">
        <f>Results!H68</f>
        <v>Austria</v>
      </c>
      <c r="H69">
        <f t="shared" si="1"/>
        <v>0</v>
      </c>
      <c r="I69">
        <f>if(Results!I68="-",0,IF(OR(AND(H69&gt;0,Results!J68&gt;0),AND(H69&lt;0,Results!J68&lt;0),AND(H69=0,Results!J68=0)),1,0))</f>
        <v>0</v>
      </c>
      <c r="J69">
        <f>IF(K69="-",0,if(K69=Results!I68,3,0))</f>
        <v>0</v>
      </c>
      <c r="K69" t="str">
        <f t="shared" si="2"/>
        <v>-</v>
      </c>
      <c r="L69">
        <f t="shared" si="3"/>
        <v>0</v>
      </c>
    </row>
    <row r="70">
      <c r="A70">
        <f>Results!A69</f>
        <v>7</v>
      </c>
      <c r="B70" s="14">
        <f>Results!B69</f>
        <v>46200</v>
      </c>
      <c r="C70" s="15">
        <f>Results!C69</f>
        <v>0.875</v>
      </c>
      <c r="D70" t="str">
        <f>Results!E69</f>
        <v>Colombia</v>
      </c>
      <c r="G70" t="str">
        <f>Results!H69</f>
        <v>Portugal</v>
      </c>
      <c r="H70">
        <f t="shared" si="1"/>
        <v>0</v>
      </c>
      <c r="I70">
        <f>if(Results!I69="-",0,IF(OR(AND(H70&gt;0,Results!J69&gt;0),AND(H70&lt;0,Results!J69&lt;0),AND(H70=0,Results!J69=0)),1,0))</f>
        <v>0</v>
      </c>
      <c r="J70">
        <f>IF(K70="-",0,if(K70=Results!I69,3,0))</f>
        <v>0</v>
      </c>
      <c r="K70" t="str">
        <f t="shared" si="2"/>
        <v>-</v>
      </c>
      <c r="L70">
        <f t="shared" si="3"/>
        <v>0</v>
      </c>
    </row>
    <row r="71">
      <c r="A71">
        <f>Results!A70</f>
        <v>7</v>
      </c>
      <c r="B71" s="14">
        <f>Results!B70</f>
        <v>46200</v>
      </c>
      <c r="C71" s="15">
        <f>Results!C70</f>
        <v>0.875</v>
      </c>
      <c r="D71" t="str">
        <f>Results!E70</f>
        <v>Congo DR</v>
      </c>
      <c r="G71" t="str">
        <f>Results!H70</f>
        <v>Uzbekistan</v>
      </c>
      <c r="H71">
        <f t="shared" si="1"/>
        <v>0</v>
      </c>
      <c r="I71">
        <f>if(Results!I70="-",0,IF(OR(AND(H71&gt;0,Results!J70&gt;0),AND(H71&lt;0,Results!J70&lt;0),AND(H71=0,Results!J70=0)),1,0))</f>
        <v>0</v>
      </c>
      <c r="J71">
        <f>IF(K71="-",0,if(K71=Results!I70,3,0))</f>
        <v>0</v>
      </c>
      <c r="K71" t="str">
        <f t="shared" si="2"/>
        <v>-</v>
      </c>
      <c r="L71">
        <f t="shared" si="3"/>
        <v>0</v>
      </c>
    </row>
    <row r="72">
      <c r="A72">
        <f>Results!A71</f>
        <v>1</v>
      </c>
      <c r="B72" s="14">
        <f>Results!B71</f>
        <v>46201</v>
      </c>
      <c r="C72" s="15">
        <f>Results!C71</f>
        <v>0.04166666667</v>
      </c>
      <c r="D72" t="str">
        <f>Results!E71</f>
        <v>Panama</v>
      </c>
      <c r="G72" t="str">
        <f>Results!H71</f>
        <v>England</v>
      </c>
      <c r="H72">
        <f t="shared" si="1"/>
        <v>0</v>
      </c>
      <c r="I72">
        <f>if(Results!I71="-",0,IF(OR(AND(H72&gt;0,Results!J71&gt;0),AND(H72&lt;0,Results!J71&lt;0),AND(H72=0,Results!J71=0)),1,0))</f>
        <v>0</v>
      </c>
      <c r="J72">
        <f>IF(K72="-",0,if(K72=Results!I71,3,0))</f>
        <v>0</v>
      </c>
      <c r="K72" t="str">
        <f t="shared" si="2"/>
        <v>-</v>
      </c>
      <c r="L72">
        <f t="shared" si="3"/>
        <v>0</v>
      </c>
    </row>
    <row r="73">
      <c r="A73">
        <f>Results!A72</f>
        <v>1</v>
      </c>
      <c r="B73" s="14">
        <f>Results!B72</f>
        <v>46201</v>
      </c>
      <c r="C73" s="15">
        <f>Results!C72</f>
        <v>0.04166666667</v>
      </c>
      <c r="D73" t="str">
        <f>Results!E72</f>
        <v>Croatia</v>
      </c>
      <c r="G73" t="str">
        <f>Results!H72</f>
        <v>Ghana</v>
      </c>
      <c r="H73">
        <f t="shared" si="1"/>
        <v>0</v>
      </c>
      <c r="I73">
        <f>if(Results!I72="-",0,IF(OR(AND(H73&gt;0,Results!J72&gt;0),AND(H73&lt;0,Results!J72&lt;0),AND(H73=0,Results!J72=0)),1,0))</f>
        <v>0</v>
      </c>
      <c r="J73">
        <f>IF(K73="-",0,if(K73=Results!I72,3,0))</f>
        <v>0</v>
      </c>
      <c r="K73" t="str">
        <f t="shared" si="2"/>
        <v>-</v>
      </c>
      <c r="L73">
        <f t="shared" si="3"/>
        <v>0</v>
      </c>
    </row>
    <row r="74">
      <c r="A74">
        <f>Results!A73</f>
        <v>1</v>
      </c>
      <c r="B74" s="14">
        <f>Results!B73</f>
        <v>46201</v>
      </c>
      <c r="C74" s="15">
        <f>Results!C73</f>
        <v>0.75</v>
      </c>
      <c r="D74" t="str">
        <f>Results!E73</f>
        <v>Winner Group A</v>
      </c>
      <c r="G74" t="str">
        <f>Results!H73</f>
        <v>3rd Place Group C/D/E</v>
      </c>
      <c r="H74">
        <f t="shared" si="1"/>
        <v>0</v>
      </c>
      <c r="I74">
        <f>if(Results!I73="-",0,IF(OR(AND(H74&gt;0,Results!J73&gt;0),AND(H74&lt;0,Results!J73&lt;0),AND(H74=0,Results!J73=0)),1,0))</f>
        <v>0</v>
      </c>
      <c r="J74">
        <f>IF(K74="-",0,if(K74=Results!I73,3,0))</f>
        <v>0</v>
      </c>
      <c r="K74" t="str">
        <f t="shared" si="2"/>
        <v>-</v>
      </c>
      <c r="L74">
        <f t="shared" si="3"/>
        <v>0</v>
      </c>
    </row>
    <row r="75">
      <c r="A75">
        <f>Results!A74</f>
        <v>1</v>
      </c>
      <c r="B75" s="14">
        <f>Results!B74</f>
        <v>46201</v>
      </c>
      <c r="C75" s="15">
        <f>Results!C74</f>
        <v>0.8958333333</v>
      </c>
      <c r="D75" t="str">
        <f>Results!E74</f>
        <v>Runner-up Group A</v>
      </c>
      <c r="G75" t="str">
        <f>Results!H74</f>
        <v>Runner-up Group B</v>
      </c>
      <c r="H75">
        <f t="shared" si="1"/>
        <v>0</v>
      </c>
      <c r="I75">
        <f>if(Results!I74="-",0,IF(OR(AND(H75&gt;0,Results!J74&gt;0),AND(H75&lt;0,Results!J74&lt;0),AND(H75=0,Results!J74=0)),1,0))</f>
        <v>0</v>
      </c>
      <c r="J75">
        <f>IF(K75="-",0,if(K75=Results!I74,3,0))</f>
        <v>0</v>
      </c>
      <c r="K75" t="str">
        <f t="shared" si="2"/>
        <v>-</v>
      </c>
      <c r="L75">
        <f t="shared" si="3"/>
        <v>0</v>
      </c>
    </row>
    <row r="76">
      <c r="A76">
        <f>Results!A75</f>
        <v>2</v>
      </c>
      <c r="B76" s="14">
        <f>Results!B75</f>
        <v>46202</v>
      </c>
      <c r="C76" s="15">
        <f>Results!C75</f>
        <v>0.75</v>
      </c>
      <c r="D76" t="str">
        <f>Results!E75</f>
        <v>Winner Group C</v>
      </c>
      <c r="G76" t="str">
        <f>Results!H75</f>
        <v>Runner-up Group D</v>
      </c>
      <c r="H76">
        <f t="shared" si="1"/>
        <v>0</v>
      </c>
      <c r="I76">
        <f>if(Results!I75="-",0,IF(OR(AND(H76&gt;0,Results!J75&gt;0),AND(H76&lt;0,Results!J75&lt;0),AND(H76=0,Results!J75=0)),1,0))</f>
        <v>0</v>
      </c>
      <c r="J76">
        <f>IF(K76="-",0,if(K76=Results!I75,3,0))</f>
        <v>0</v>
      </c>
      <c r="K76" t="str">
        <f t="shared" si="2"/>
        <v>-</v>
      </c>
      <c r="L76">
        <f t="shared" si="3"/>
        <v>0</v>
      </c>
    </row>
    <row r="77">
      <c r="A77">
        <f>Results!A76</f>
        <v>2</v>
      </c>
      <c r="B77" s="14">
        <f>Results!B76</f>
        <v>46202</v>
      </c>
      <c r="C77" s="15">
        <f>Results!C76</f>
        <v>0.8958333333</v>
      </c>
      <c r="D77" t="str">
        <f>Results!E76</f>
        <v>Winner Group E</v>
      </c>
      <c r="G77" t="str">
        <f>Results!H76</f>
        <v>3rd Place Group A/B/C</v>
      </c>
      <c r="H77">
        <f t="shared" si="1"/>
        <v>0</v>
      </c>
      <c r="I77">
        <f>if(Results!I76="-",0,IF(OR(AND(H77&gt;0,Results!J76&gt;0),AND(H77&lt;0,Results!J76&lt;0),AND(H77=0,Results!J76=0)),1,0))</f>
        <v>0</v>
      </c>
      <c r="J77">
        <f>IF(K77="-",0,if(K77=Results!I76,3,0))</f>
        <v>0</v>
      </c>
      <c r="K77" t="str">
        <f t="shared" si="2"/>
        <v>-</v>
      </c>
      <c r="L77">
        <f t="shared" si="3"/>
        <v>0</v>
      </c>
    </row>
    <row r="78">
      <c r="A78">
        <f>Results!A77</f>
        <v>3</v>
      </c>
      <c r="B78" s="14">
        <f>Results!B77</f>
        <v>46203</v>
      </c>
      <c r="C78" s="15">
        <f>Results!C77</f>
        <v>0.75</v>
      </c>
      <c r="D78" t="str">
        <f>Results!E77</f>
        <v>Winner Group F</v>
      </c>
      <c r="G78" t="str">
        <f>Results!H77</f>
        <v>Runner-up Group C</v>
      </c>
      <c r="H78">
        <f t="shared" si="1"/>
        <v>0</v>
      </c>
      <c r="I78">
        <f>if(Results!I77="-",0,IF(OR(AND(H78&gt;0,Results!J77&gt;0),AND(H78&lt;0,Results!J77&lt;0),AND(H78=0,Results!J77=0)),1,0))</f>
        <v>0</v>
      </c>
      <c r="J78">
        <f>IF(K78="-",0,if(K78=Results!I77,3,0))</f>
        <v>0</v>
      </c>
      <c r="K78" t="str">
        <f t="shared" si="2"/>
        <v>-</v>
      </c>
      <c r="L78">
        <f t="shared" si="3"/>
        <v>0</v>
      </c>
    </row>
    <row r="79">
      <c r="A79">
        <f>Results!A78</f>
        <v>3</v>
      </c>
      <c r="B79" s="14">
        <f>Results!B78</f>
        <v>46203</v>
      </c>
      <c r="C79" s="15">
        <f>Results!C78</f>
        <v>0.9166666667</v>
      </c>
      <c r="D79" t="str">
        <f>Results!E78</f>
        <v>Winner Group B</v>
      </c>
      <c r="G79" t="str">
        <f>Results!H78</f>
        <v>3rd Place Group E/F/G</v>
      </c>
      <c r="H79">
        <f t="shared" si="1"/>
        <v>0</v>
      </c>
      <c r="I79">
        <f>if(Results!I78="-",0,IF(OR(AND(H79&gt;0,Results!J78&gt;0),AND(H79&lt;0,Results!J78&lt;0),AND(H79=0,Results!J78=0)),1,0))</f>
        <v>0</v>
      </c>
      <c r="J79">
        <f>IF(K79="-",0,if(K79=Results!I78,3,0))</f>
        <v>0</v>
      </c>
      <c r="K79" t="str">
        <f t="shared" si="2"/>
        <v>-</v>
      </c>
      <c r="L79">
        <f t="shared" si="3"/>
        <v>0</v>
      </c>
    </row>
    <row r="80">
      <c r="A80">
        <f>Results!A79</f>
        <v>4</v>
      </c>
      <c r="B80" s="16">
        <f>Results!B79</f>
        <v>46204</v>
      </c>
      <c r="C80" s="15">
        <f>Results!C79</f>
        <v>0.04166666667</v>
      </c>
      <c r="D80" t="str">
        <f>Results!E79</f>
        <v>Winner Group G</v>
      </c>
      <c r="G80" t="str">
        <f>Results!H79</f>
        <v>Runner-up Group H</v>
      </c>
      <c r="H80">
        <f t="shared" si="1"/>
        <v>0</v>
      </c>
      <c r="I80">
        <f>if(Results!I79="-",0,IF(OR(AND(H80&gt;0,Results!J79&gt;0),AND(H80&lt;0,Results!J79&lt;0),AND(H80=0,Results!J79=0)),1,0))</f>
        <v>0</v>
      </c>
      <c r="J80">
        <f>IF(K80="-",0,if(K80=Results!I79,3,0))</f>
        <v>0</v>
      </c>
      <c r="K80" t="str">
        <f t="shared" si="2"/>
        <v>-</v>
      </c>
      <c r="L80">
        <f t="shared" si="3"/>
        <v>0</v>
      </c>
    </row>
    <row r="81">
      <c r="A81">
        <f>Results!A80</f>
        <v>4</v>
      </c>
      <c r="B81" s="16">
        <f>Results!B80</f>
        <v>46204</v>
      </c>
      <c r="C81" s="15">
        <f>Results!C80</f>
        <v>0.75</v>
      </c>
      <c r="D81" t="str">
        <f>Results!E80</f>
        <v>Winner Group D</v>
      </c>
      <c r="G81" t="str">
        <f>Results!H80</f>
        <v>3rd Place Group I/J/K</v>
      </c>
      <c r="H81">
        <f t="shared" si="1"/>
        <v>0</v>
      </c>
      <c r="I81">
        <f>if(Results!I80="-",0,IF(OR(AND(H81&gt;0,Results!J80&gt;0),AND(H81&lt;0,Results!J80&lt;0),AND(H81=0,Results!J80=0)),1,0))</f>
        <v>0</v>
      </c>
      <c r="J81">
        <f>IF(K81="-",0,if(K81=Results!I80,3,0))</f>
        <v>0</v>
      </c>
      <c r="K81" t="str">
        <f t="shared" si="2"/>
        <v>-</v>
      </c>
      <c r="L81">
        <f t="shared" si="3"/>
        <v>0</v>
      </c>
    </row>
    <row r="82">
      <c r="A82">
        <f>Results!A81</f>
        <v>4</v>
      </c>
      <c r="B82" s="16">
        <f>Results!B81</f>
        <v>46204</v>
      </c>
      <c r="C82" s="15">
        <f>Results!C81</f>
        <v>0.875</v>
      </c>
      <c r="D82" t="str">
        <f>Results!E81</f>
        <v>Winner Group H</v>
      </c>
      <c r="G82" t="str">
        <f>Results!H81</f>
        <v>Runner-up Group G</v>
      </c>
      <c r="H82">
        <f t="shared" si="1"/>
        <v>0</v>
      </c>
      <c r="I82">
        <f>if(Results!I81="-",0,IF(OR(AND(H82&gt;0,Results!J81&gt;0),AND(H82&lt;0,Results!J81&lt;0),AND(H82=0,Results!J81=0)),1,0))</f>
        <v>0</v>
      </c>
      <c r="J82">
        <f>IF(K82="-",0,if(K82=Results!I81,3,0))</f>
        <v>0</v>
      </c>
      <c r="K82" t="str">
        <f t="shared" si="2"/>
        <v>-</v>
      </c>
      <c r="L82">
        <f t="shared" si="3"/>
        <v>0</v>
      </c>
    </row>
    <row r="83">
      <c r="A83">
        <f>Results!A82</f>
        <v>5</v>
      </c>
      <c r="B83" s="16">
        <f>Results!B82</f>
        <v>46205</v>
      </c>
      <c r="C83" s="15">
        <f>Results!C82</f>
        <v>0.04166666667</v>
      </c>
      <c r="D83" t="str">
        <f>Results!E82</f>
        <v>Winner Group I</v>
      </c>
      <c r="G83" t="str">
        <f>Results!H82</f>
        <v>3rd Place Group B/C/F</v>
      </c>
      <c r="H83">
        <f t="shared" si="1"/>
        <v>0</v>
      </c>
      <c r="I83">
        <f>if(Results!I82="-",0,IF(OR(AND(H83&gt;0,Results!J82&gt;0),AND(H83&lt;0,Results!J82&lt;0),AND(H83=0,Results!J82=0)),1,0))</f>
        <v>0</v>
      </c>
      <c r="J83">
        <f>IF(K83="-",0,if(K83=Results!I82,3,0))</f>
        <v>0</v>
      </c>
      <c r="K83" t="str">
        <f t="shared" si="2"/>
        <v>-</v>
      </c>
      <c r="L83">
        <f t="shared" si="3"/>
        <v>0</v>
      </c>
    </row>
    <row r="84">
      <c r="A84">
        <f>Results!A83</f>
        <v>5</v>
      </c>
      <c r="B84" s="16">
        <f>Results!B83</f>
        <v>46205</v>
      </c>
      <c r="C84" s="15">
        <f>Results!C83</f>
        <v>0.75</v>
      </c>
      <c r="D84" t="str">
        <f>Results!E83</f>
        <v>Winner Group J</v>
      </c>
      <c r="G84" t="str">
        <f>Results!H83</f>
        <v>Runner-up Group K</v>
      </c>
      <c r="H84">
        <f t="shared" si="1"/>
        <v>0</v>
      </c>
      <c r="I84">
        <f>if(Results!I83="-",0,IF(OR(AND(H84&gt;0,Results!J83&gt;0),AND(H84&lt;0,Results!J83&lt;0),AND(H84=0,Results!J83=0)),1,0))</f>
        <v>0</v>
      </c>
      <c r="J84">
        <f>IF(K84="-",0,if(K84=Results!I83,3,0))</f>
        <v>0</v>
      </c>
      <c r="K84" t="str">
        <f t="shared" si="2"/>
        <v>-</v>
      </c>
      <c r="L84">
        <f t="shared" si="3"/>
        <v>0</v>
      </c>
    </row>
    <row r="85">
      <c r="A85">
        <f>Results!A84</f>
        <v>5</v>
      </c>
      <c r="B85" s="16">
        <f>Results!B84</f>
        <v>46205</v>
      </c>
      <c r="C85" s="15">
        <f>Results!C84</f>
        <v>0.875</v>
      </c>
      <c r="D85" t="str">
        <f>Results!E84</f>
        <v>Winner Group K</v>
      </c>
      <c r="G85" t="str">
        <f>Results!H84</f>
        <v>Runner-up Group J</v>
      </c>
      <c r="H85">
        <f t="shared" si="1"/>
        <v>0</v>
      </c>
      <c r="I85">
        <f>if(Results!I84="-",0,IF(OR(AND(H85&gt;0,Results!J84&gt;0),AND(H85&lt;0,Results!J84&lt;0),AND(H85=0,Results!J84=0)),1,0))</f>
        <v>0</v>
      </c>
      <c r="J85">
        <f>IF(K85="-",0,if(K85=Results!I84,3,0))</f>
        <v>0</v>
      </c>
      <c r="K85" t="str">
        <f t="shared" si="2"/>
        <v>-</v>
      </c>
      <c r="L85">
        <f t="shared" si="3"/>
        <v>0</v>
      </c>
    </row>
    <row r="86">
      <c r="A86">
        <f>Results!A85</f>
        <v>6</v>
      </c>
      <c r="B86" s="16">
        <f>Results!B85</f>
        <v>46206</v>
      </c>
      <c r="C86" s="15">
        <f>Results!C85</f>
        <v>0.04166666667</v>
      </c>
      <c r="D86" t="str">
        <f>Results!E85</f>
        <v>Winner Group L</v>
      </c>
      <c r="G86" t="str">
        <f>Results!H85</f>
        <v>3rd Place Group A/D/H</v>
      </c>
      <c r="H86">
        <f t="shared" si="1"/>
        <v>0</v>
      </c>
      <c r="I86">
        <f>if(Results!I85="-",0,IF(OR(AND(H86&gt;0,Results!J85&gt;0),AND(H86&lt;0,Results!J85&lt;0),AND(H86=0,Results!J85=0)),1,0))</f>
        <v>0</v>
      </c>
      <c r="J86">
        <f>IF(K86="-",0,if(K86=Results!I85,3,0))</f>
        <v>0</v>
      </c>
      <c r="K86" t="str">
        <f t="shared" si="2"/>
        <v>-</v>
      </c>
      <c r="L86">
        <f t="shared" si="3"/>
        <v>0</v>
      </c>
    </row>
    <row r="87">
      <c r="A87">
        <f>Results!A86</f>
        <v>6</v>
      </c>
      <c r="B87" s="16">
        <f>Results!B86</f>
        <v>46206</v>
      </c>
      <c r="C87" s="15">
        <f>Results!C86</f>
        <v>0.75</v>
      </c>
      <c r="D87" t="str">
        <f>Results!E86</f>
        <v>Runner-up Group D</v>
      </c>
      <c r="G87" t="str">
        <f>Results!H86</f>
        <v>Runner-up Group E</v>
      </c>
      <c r="H87">
        <f t="shared" si="1"/>
        <v>0</v>
      </c>
      <c r="I87">
        <f>if(Results!I86="-",0,IF(OR(AND(H87&gt;0,Results!J86&gt;0),AND(H87&lt;0,Results!J86&lt;0),AND(H87=0,Results!J86=0)),1,0))</f>
        <v>0</v>
      </c>
      <c r="J87">
        <f>IF(K87="-",0,if(K87=Results!I86,3,0))</f>
        <v>0</v>
      </c>
      <c r="K87" t="str">
        <f t="shared" si="2"/>
        <v>-</v>
      </c>
      <c r="L87">
        <f t="shared" si="3"/>
        <v>0</v>
      </c>
    </row>
    <row r="88">
      <c r="A88">
        <f>Results!A87</f>
        <v>6</v>
      </c>
      <c r="B88" s="16">
        <f>Results!B87</f>
        <v>46206</v>
      </c>
      <c r="C88" s="15">
        <f>Results!C87</f>
        <v>0.875</v>
      </c>
      <c r="D88" t="str">
        <f>Results!E87</f>
        <v>Runner-up Group H</v>
      </c>
      <c r="G88" t="str">
        <f>Results!H87</f>
        <v>Runner-up Group I</v>
      </c>
      <c r="H88">
        <f t="shared" si="1"/>
        <v>0</v>
      </c>
      <c r="I88">
        <f>if(Results!I87="-",0,IF(OR(AND(H88&gt;0,Results!J87&gt;0),AND(H88&lt;0,Results!J87&lt;0),AND(H88=0,Results!J87=0)),1,0))</f>
        <v>0</v>
      </c>
      <c r="J88">
        <f>IF(K88="-",0,if(K88=Results!I87,3,0))</f>
        <v>0</v>
      </c>
      <c r="K88" t="str">
        <f t="shared" si="2"/>
        <v>-</v>
      </c>
      <c r="L88">
        <f t="shared" si="3"/>
        <v>0</v>
      </c>
    </row>
    <row r="89">
      <c r="A89">
        <f>Results!A88</f>
        <v>7</v>
      </c>
      <c r="B89" s="16">
        <f>Results!B88</f>
        <v>46207</v>
      </c>
      <c r="C89" s="15">
        <f>Results!C88</f>
        <v>0.04166666667</v>
      </c>
      <c r="D89" t="str">
        <f>Results!E88</f>
        <v>Runner-up Group L</v>
      </c>
      <c r="G89" t="str">
        <f>Results!H88</f>
        <v>Runner-up Group K</v>
      </c>
      <c r="H89">
        <f t="shared" si="1"/>
        <v>0</v>
      </c>
      <c r="I89">
        <f>if(Results!I88="-",0,IF(OR(AND(H89&gt;0,Results!J88&gt;0),AND(H89&lt;0,Results!J88&lt;0),AND(H89=0,Results!J88=0)),1,0))</f>
        <v>0</v>
      </c>
      <c r="J89">
        <f>IF(K89="-",0,if(K89=Results!I88,3,0))</f>
        <v>0</v>
      </c>
      <c r="K89" t="str">
        <f t="shared" si="2"/>
        <v>-</v>
      </c>
      <c r="L89">
        <f t="shared" si="3"/>
        <v>0</v>
      </c>
    </row>
    <row r="90">
      <c r="A90">
        <f>Results!A89</f>
        <v>7</v>
      </c>
      <c r="B90" s="16">
        <f>Results!B89</f>
        <v>46207</v>
      </c>
      <c r="C90" s="15">
        <f>Results!C89</f>
        <v>0.75</v>
      </c>
      <c r="D90" t="str">
        <f>Results!E89</f>
        <v>Winner Match 73</v>
      </c>
      <c r="G90" t="str">
        <f>Results!H89</f>
        <v>Winner Match 74</v>
      </c>
      <c r="H90">
        <f t="shared" si="1"/>
        <v>0</v>
      </c>
      <c r="I90">
        <f>if(Results!I89="-",0,IF(OR(AND(H90&gt;0,Results!J89&gt;0),AND(H90&lt;0,Results!J89&lt;0),AND(H90=0,Results!J89=0)),1,0))</f>
        <v>0</v>
      </c>
      <c r="J90">
        <f>IF(K90="-",0,if(K90=Results!I89,3,0))</f>
        <v>0</v>
      </c>
      <c r="K90" t="str">
        <f t="shared" si="2"/>
        <v>-</v>
      </c>
      <c r="L90">
        <f t="shared" si="3"/>
        <v>0</v>
      </c>
    </row>
    <row r="91">
      <c r="A91">
        <f>Results!A90</f>
        <v>7</v>
      </c>
      <c r="B91" s="16">
        <f>Results!B90</f>
        <v>46207</v>
      </c>
      <c r="C91" s="15">
        <f>Results!C90</f>
        <v>0.8958333333</v>
      </c>
      <c r="D91" t="str">
        <f>Results!E90</f>
        <v>Winner Match 75</v>
      </c>
      <c r="G91" t="str">
        <f>Results!H90</f>
        <v>Winner Match 76</v>
      </c>
      <c r="H91">
        <f t="shared" si="1"/>
        <v>0</v>
      </c>
      <c r="I91">
        <f>if(Results!I90="-",0,IF(OR(AND(H91&gt;0,Results!J90&gt;0),AND(H91&lt;0,Results!J90&lt;0),AND(H91=0,Results!J90=0)),1,0))</f>
        <v>0</v>
      </c>
      <c r="J91">
        <f>IF(K91="-",0,if(K91=Results!I90,3,0))</f>
        <v>0</v>
      </c>
      <c r="K91" t="str">
        <f t="shared" si="2"/>
        <v>-</v>
      </c>
      <c r="L91">
        <f t="shared" si="3"/>
        <v>0</v>
      </c>
    </row>
    <row r="92">
      <c r="A92">
        <f>Results!A91</f>
        <v>1</v>
      </c>
      <c r="B92" s="16">
        <f>Results!B91</f>
        <v>46208</v>
      </c>
      <c r="C92" s="15">
        <f>Results!C91</f>
        <v>0.75</v>
      </c>
      <c r="D92" t="str">
        <f>Results!E91</f>
        <v>Winner Match 77</v>
      </c>
      <c r="G92" t="str">
        <f>Results!H91</f>
        <v>Winner Match 78</v>
      </c>
      <c r="H92">
        <f t="shared" si="1"/>
        <v>0</v>
      </c>
      <c r="I92">
        <f>if(Results!I91="-",0,IF(OR(AND(H92&gt;0,Results!J91&gt;0),AND(H92&lt;0,Results!J91&lt;0),AND(H92=0,Results!J91=0)),1,0))</f>
        <v>0</v>
      </c>
      <c r="J92">
        <f>IF(K92="-",0,if(K92=Results!I91,3,0))</f>
        <v>0</v>
      </c>
      <c r="K92" t="str">
        <f t="shared" si="2"/>
        <v>-</v>
      </c>
      <c r="L92">
        <f t="shared" si="3"/>
        <v>0</v>
      </c>
    </row>
    <row r="93">
      <c r="A93">
        <f>Results!A92</f>
        <v>1</v>
      </c>
      <c r="B93" s="16">
        <f>Results!B92</f>
        <v>46208</v>
      </c>
      <c r="C93" s="15">
        <f>Results!C92</f>
        <v>0.8958333333</v>
      </c>
      <c r="D93" t="str">
        <f>Results!E92</f>
        <v>Winner Match 79</v>
      </c>
      <c r="G93" t="str">
        <f>Results!H92</f>
        <v>Winner Match 80</v>
      </c>
      <c r="H93">
        <f t="shared" si="1"/>
        <v>0</v>
      </c>
      <c r="I93">
        <f>if(Results!I92="-",0,IF(OR(AND(H93&gt;0,Results!J92&gt;0),AND(H93&lt;0,Results!J92&lt;0),AND(H93=0,Results!J92=0)),1,0))</f>
        <v>0</v>
      </c>
      <c r="J93">
        <f>IF(K93="-",0,if(K93=Results!I92,3,0))</f>
        <v>0</v>
      </c>
      <c r="K93" t="str">
        <f t="shared" si="2"/>
        <v>-</v>
      </c>
      <c r="L93">
        <f t="shared" si="3"/>
        <v>0</v>
      </c>
    </row>
    <row r="94">
      <c r="A94">
        <f>Results!A93</f>
        <v>2</v>
      </c>
      <c r="B94" s="16">
        <f>Results!B93</f>
        <v>46209</v>
      </c>
      <c r="C94" s="15">
        <f>Results!C93</f>
        <v>0.75</v>
      </c>
      <c r="D94" t="str">
        <f>Results!E93</f>
        <v>Winner Match 81</v>
      </c>
      <c r="G94" t="str">
        <f>Results!H93</f>
        <v>Winner Match 82</v>
      </c>
      <c r="H94">
        <f t="shared" si="1"/>
        <v>0</v>
      </c>
      <c r="I94">
        <f>if(Results!I93="-",0,IF(OR(AND(H94&gt;0,Results!J93&gt;0),AND(H94&lt;0,Results!J93&lt;0),AND(H94=0,Results!J93=0)),1,0))</f>
        <v>0</v>
      </c>
      <c r="J94">
        <f>IF(K94="-",0,if(K94=Results!I93,3,0))</f>
        <v>0</v>
      </c>
      <c r="K94" t="str">
        <f t="shared" si="2"/>
        <v>-</v>
      </c>
      <c r="L94">
        <f t="shared" si="3"/>
        <v>0</v>
      </c>
    </row>
    <row r="95">
      <c r="A95">
        <f>Results!A94</f>
        <v>2</v>
      </c>
      <c r="B95" s="16">
        <f>Results!B94</f>
        <v>46209</v>
      </c>
      <c r="C95" s="15">
        <f>Results!C94</f>
        <v>0.8958333333</v>
      </c>
      <c r="D95" t="str">
        <f>Results!E94</f>
        <v>Winner Match 83</v>
      </c>
      <c r="G95" t="str">
        <f>Results!H94</f>
        <v>Winner Match 84</v>
      </c>
      <c r="H95">
        <f t="shared" si="1"/>
        <v>0</v>
      </c>
      <c r="I95">
        <f>if(Results!I94="-",0,IF(OR(AND(H95&gt;0,Results!J94&gt;0),AND(H95&lt;0,Results!J94&lt;0),AND(H95=0,Results!J94=0)),1,0))</f>
        <v>0</v>
      </c>
      <c r="J95">
        <f>IF(K95="-",0,if(K95=Results!I94,3,0))</f>
        <v>0</v>
      </c>
      <c r="K95" t="str">
        <f t="shared" si="2"/>
        <v>-</v>
      </c>
      <c r="L95">
        <f t="shared" si="3"/>
        <v>0</v>
      </c>
    </row>
    <row r="96">
      <c r="A96">
        <f>Results!A95</f>
        <v>3</v>
      </c>
      <c r="B96" s="16">
        <f>Results!B95</f>
        <v>46210</v>
      </c>
      <c r="C96" s="15">
        <f>Results!C95</f>
        <v>0.75</v>
      </c>
      <c r="D96" t="str">
        <f>Results!E95</f>
        <v>Winner Match 85</v>
      </c>
      <c r="G96" t="str">
        <f>Results!H95</f>
        <v>Winner Match 86</v>
      </c>
      <c r="H96">
        <f t="shared" si="1"/>
        <v>0</v>
      </c>
      <c r="I96">
        <f>if(Results!I95="-",0,IF(OR(AND(H96&gt;0,Results!J95&gt;0),AND(H96&lt;0,Results!J95&lt;0),AND(H96=0,Results!J95=0)),1,0))</f>
        <v>0</v>
      </c>
      <c r="J96">
        <f>IF(K96="-",0,if(K96=Results!I95,3,0))</f>
        <v>0</v>
      </c>
      <c r="K96" t="str">
        <f t="shared" si="2"/>
        <v>-</v>
      </c>
      <c r="L96">
        <f t="shared" si="3"/>
        <v>0</v>
      </c>
    </row>
    <row r="97">
      <c r="A97">
        <f>Results!A96</f>
        <v>3</v>
      </c>
      <c r="B97" s="16">
        <f>Results!B96</f>
        <v>46210</v>
      </c>
      <c r="C97" s="15">
        <f>Results!C96</f>
        <v>0.8958333333</v>
      </c>
      <c r="D97" t="str">
        <f>Results!E96</f>
        <v>Winner Match 87</v>
      </c>
      <c r="G97" t="str">
        <f>Results!H96</f>
        <v>Winner Match 88</v>
      </c>
      <c r="H97">
        <f t="shared" si="1"/>
        <v>0</v>
      </c>
      <c r="I97">
        <f>if(Results!I96="-",0,IF(OR(AND(H97&gt;0,Results!J96&gt;0),AND(H97&lt;0,Results!J96&lt;0),AND(H97=0,Results!J96=0)),1,0))</f>
        <v>0</v>
      </c>
      <c r="J97">
        <f>IF(K97="-",0,if(K97=Results!I96,3,0))</f>
        <v>0</v>
      </c>
      <c r="K97" t="str">
        <f t="shared" si="2"/>
        <v>-</v>
      </c>
      <c r="L97">
        <f t="shared" si="3"/>
        <v>0</v>
      </c>
    </row>
    <row r="98">
      <c r="A98">
        <f>Results!A97</f>
        <v>5</v>
      </c>
      <c r="B98" s="16">
        <f>Results!B97</f>
        <v>46212</v>
      </c>
      <c r="C98" s="15">
        <f>Results!C97</f>
        <v>0.8333333333</v>
      </c>
      <c r="D98" t="str">
        <f>Results!E97</f>
        <v>Winner Match 89</v>
      </c>
      <c r="G98" t="str">
        <f>Results!H97</f>
        <v>Winner Match 90</v>
      </c>
      <c r="H98">
        <f t="shared" si="1"/>
        <v>0</v>
      </c>
      <c r="I98">
        <f>if(Results!I97="-",0,IF(OR(AND(H98&gt;0,Results!J97&gt;0),AND(H98&lt;0,Results!J97&lt;0),AND(H98=0,Results!J97=0)),1,0))</f>
        <v>0</v>
      </c>
      <c r="J98">
        <f>IF(K98="-",0,if(K98=Results!I97,3,0))</f>
        <v>0</v>
      </c>
      <c r="K98" t="str">
        <f t="shared" si="2"/>
        <v>-</v>
      </c>
      <c r="L98">
        <f t="shared" si="3"/>
        <v>0</v>
      </c>
    </row>
    <row r="99">
      <c r="A99">
        <f>Results!A98</f>
        <v>6</v>
      </c>
      <c r="B99" s="14">
        <f>Results!B98</f>
        <v>46213</v>
      </c>
      <c r="C99" s="15">
        <f>Results!C98</f>
        <v>0.8333333333</v>
      </c>
      <c r="D99" t="str">
        <f>Results!E98</f>
        <v>Winner Match 91</v>
      </c>
      <c r="G99" t="str">
        <f>Results!H98</f>
        <v>Winner Match 92</v>
      </c>
      <c r="H99">
        <f t="shared" si="1"/>
        <v>0</v>
      </c>
      <c r="I99">
        <f>if(Results!I98="-",0,IF(OR(AND(H99&gt;0,Results!J98&gt;0),AND(H99&lt;0,Results!J98&lt;0),AND(H99=0,Results!J98=0)),1,0))</f>
        <v>0</v>
      </c>
      <c r="J99">
        <f>IF(K99="-",0,if(K99=Results!I98,3,0))</f>
        <v>0</v>
      </c>
      <c r="K99" t="str">
        <f t="shared" si="2"/>
        <v>-</v>
      </c>
      <c r="L99">
        <f t="shared" si="3"/>
        <v>0</v>
      </c>
    </row>
    <row r="100">
      <c r="A100">
        <f>Results!A99</f>
        <v>7</v>
      </c>
      <c r="B100" s="14">
        <f>Results!B99</f>
        <v>46214</v>
      </c>
      <c r="C100" s="15">
        <f>Results!C99</f>
        <v>0.75</v>
      </c>
      <c r="D100" t="str">
        <f>Results!E99</f>
        <v>Winner Match 93</v>
      </c>
      <c r="G100" t="str">
        <f>Results!H99</f>
        <v>Winner Match 94</v>
      </c>
      <c r="H100">
        <f t="shared" si="1"/>
        <v>0</v>
      </c>
      <c r="I100">
        <f>if(Results!I99="-",0,IF(OR(AND(H100&gt;0,Results!J99&gt;0),AND(H100&lt;0,Results!J99&lt;0),AND(H100=0,Results!J99=0)),1,0))</f>
        <v>0</v>
      </c>
      <c r="J100">
        <f>IF(K100="-",0,if(K100=Results!I99,3,0))</f>
        <v>0</v>
      </c>
      <c r="K100" t="str">
        <f t="shared" si="2"/>
        <v>-</v>
      </c>
      <c r="L100">
        <f t="shared" si="3"/>
        <v>0</v>
      </c>
    </row>
    <row r="101">
      <c r="A101">
        <f>Results!A100</f>
        <v>7</v>
      </c>
      <c r="B101" s="14">
        <f>Results!B100</f>
        <v>46214</v>
      </c>
      <c r="C101" s="15">
        <f>Results!C100</f>
        <v>0.8958333333</v>
      </c>
      <c r="D101" t="str">
        <f>Results!E100</f>
        <v>Winner Match 95</v>
      </c>
      <c r="G101" t="str">
        <f>Results!H100</f>
        <v>Winner Match 96</v>
      </c>
      <c r="H101">
        <f t="shared" si="1"/>
        <v>0</v>
      </c>
      <c r="I101">
        <f>if(Results!I100="-",0,IF(OR(AND(H101&gt;0,Results!J100&gt;0),AND(H101&lt;0,Results!J100&lt;0),AND(H101=0,Results!J100=0)),1,0))</f>
        <v>0</v>
      </c>
      <c r="J101">
        <f>IF(K101="-",0,if(K101=Results!I100,3,0))</f>
        <v>0</v>
      </c>
      <c r="K101" t="str">
        <f t="shared" si="2"/>
        <v>-</v>
      </c>
      <c r="L101">
        <f t="shared" si="3"/>
        <v>0</v>
      </c>
    </row>
    <row r="102">
      <c r="A102">
        <f>Results!A101</f>
        <v>3</v>
      </c>
      <c r="B102" s="14">
        <f>Results!B101</f>
        <v>46217</v>
      </c>
      <c r="C102" s="15">
        <f>Results!C101</f>
        <v>0.8333333333</v>
      </c>
      <c r="D102" t="str">
        <f>Results!E101</f>
        <v>Winner Match 97</v>
      </c>
      <c r="G102" t="str">
        <f>Results!H101</f>
        <v>Winner Match 98</v>
      </c>
      <c r="H102">
        <f t="shared" si="1"/>
        <v>0</v>
      </c>
      <c r="I102">
        <f>if(Results!I101="-",0,IF(OR(AND(H102&gt;0,Results!J101&gt;0),AND(H102&lt;0,Results!J101&lt;0),AND(H102=0,Results!J101=0)),1,0))</f>
        <v>0</v>
      </c>
      <c r="J102">
        <f>IF(K102="-",0,if(K102=Results!I101,3,0))</f>
        <v>0</v>
      </c>
      <c r="K102" t="str">
        <f t="shared" si="2"/>
        <v>-</v>
      </c>
      <c r="L102">
        <f t="shared" si="3"/>
        <v>0</v>
      </c>
    </row>
    <row r="103">
      <c r="A103">
        <f>Results!A102</f>
        <v>4</v>
      </c>
      <c r="B103" s="14">
        <f>Results!B102</f>
        <v>46218</v>
      </c>
      <c r="C103" s="15">
        <f>Results!C102</f>
        <v>0.8333333333</v>
      </c>
      <c r="D103" t="str">
        <f>Results!E102</f>
        <v>Winner Match 99</v>
      </c>
      <c r="G103" t="str">
        <f>Results!H102</f>
        <v>Winner Match 100</v>
      </c>
      <c r="H103">
        <f t="shared" si="1"/>
        <v>0</v>
      </c>
      <c r="I103">
        <f>if(Results!I102="-",0,IF(OR(AND(H103&gt;0,Results!J102&gt;0),AND(H103&lt;0,Results!J102&lt;0),AND(H103=0,Results!J102=0)),1,0))</f>
        <v>0</v>
      </c>
      <c r="J103">
        <f>IF(K103="-",0,if(K103=Results!I102,3,0))</f>
        <v>0</v>
      </c>
      <c r="K103" t="str">
        <f t="shared" si="2"/>
        <v>-</v>
      </c>
      <c r="L103">
        <f t="shared" si="3"/>
        <v>0</v>
      </c>
    </row>
    <row r="104">
      <c r="A104">
        <f>Results!A103</f>
        <v>7</v>
      </c>
      <c r="B104" s="14">
        <f>Results!B103</f>
        <v>46221</v>
      </c>
      <c r="C104" s="15">
        <f>Results!C103</f>
        <v>0.8333333333</v>
      </c>
      <c r="D104" t="str">
        <f>Results!E103</f>
        <v>Loser Match 101</v>
      </c>
      <c r="G104" t="str">
        <f>Results!H103</f>
        <v>Loser Match 102</v>
      </c>
      <c r="H104">
        <f t="shared" si="1"/>
        <v>0</v>
      </c>
      <c r="I104">
        <f>if(Results!I103="-",0,IF(OR(AND(H104&gt;0,Results!J103&gt;0),AND(H104&lt;0,Results!J103&lt;0),AND(H104=0,Results!J103=0)),1,0))</f>
        <v>0</v>
      </c>
      <c r="J104">
        <f>IF(K104="-",0,if(K104=Results!I103,3,0))</f>
        <v>0</v>
      </c>
      <c r="K104" t="str">
        <f t="shared" si="2"/>
        <v>-</v>
      </c>
      <c r="L104">
        <f t="shared" si="3"/>
        <v>0</v>
      </c>
    </row>
    <row r="105">
      <c r="A105">
        <f>Results!A104</f>
        <v>1</v>
      </c>
      <c r="B105" s="14">
        <f>Results!B104</f>
        <v>46222</v>
      </c>
      <c r="C105" s="15">
        <f>Results!C104</f>
        <v>0.8333333333</v>
      </c>
      <c r="D105" t="str">
        <f>Results!E104</f>
        <v>Winner Match 101</v>
      </c>
      <c r="G105" t="str">
        <f>Results!H104</f>
        <v>Winner Match 102</v>
      </c>
      <c r="H105">
        <f t="shared" si="1"/>
        <v>0</v>
      </c>
      <c r="I105">
        <f>if(Results!I104="-",0,IF(OR(AND(H105&gt;0,Results!J104&gt;0),AND(H105&lt;0,Results!J104&lt;0),AND(H105=0,Results!J104=0)),1,0))</f>
        <v>0</v>
      </c>
      <c r="J105">
        <f>IF(K105="-",0,if(K105=Results!I104,3,0))</f>
        <v>0</v>
      </c>
      <c r="K105" t="str">
        <f t="shared" si="2"/>
        <v>-</v>
      </c>
      <c r="L105">
        <f t="shared" si="3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9"/>
      <c r="F1" s="9"/>
    </row>
    <row r="2">
      <c r="A2">
        <f>Results!A1</f>
        <v>5</v>
      </c>
      <c r="B2" s="14">
        <f>Results!B1</f>
        <v>46184</v>
      </c>
      <c r="C2" s="15">
        <f>Results!C1</f>
        <v>0.8333333333</v>
      </c>
      <c r="D2" t="str">
        <f>Results!E1</f>
        <v>Mexico</v>
      </c>
      <c r="E2" s="9">
        <v>2.0</v>
      </c>
      <c r="F2" s="9">
        <v>0.0</v>
      </c>
      <c r="G2" t="str">
        <f>Results!H1</f>
        <v>South Africa</v>
      </c>
      <c r="H2">
        <f t="shared" ref="H2:H105" si="1">E2-F2</f>
        <v>2</v>
      </c>
      <c r="I2">
        <f>if(Results!I1="-",0,IF(OR(AND(H2&gt;0,Results!J1&gt;0),AND(H2&lt;0,Results!J1&lt;0),AND(H2=0,Results!J1=0)),1,0))</f>
        <v>1</v>
      </c>
      <c r="J2">
        <f>IF(K2="-",0,if(K2=Results!I1,3,0))</f>
        <v>3</v>
      </c>
      <c r="K2" t="str">
        <f t="shared" ref="K2:K105" si="2">E2&amp;"-"&amp;F2</f>
        <v>2-0</v>
      </c>
      <c r="L2">
        <f t="shared" ref="L2:L105" si="3">MAX(I2,J2)</f>
        <v>3</v>
      </c>
    </row>
    <row r="3">
      <c r="A3">
        <f>Results!A2</f>
        <v>6</v>
      </c>
      <c r="B3" s="14">
        <f>Results!B2</f>
        <v>46185</v>
      </c>
      <c r="C3" s="15">
        <f>Results!C2</f>
        <v>0.125</v>
      </c>
      <c r="D3" t="str">
        <f>Results!E2</f>
        <v>South Korea</v>
      </c>
      <c r="E3" s="9">
        <v>1.0</v>
      </c>
      <c r="F3" s="9">
        <v>2.0</v>
      </c>
      <c r="G3" t="str">
        <f>Results!H2</f>
        <v>Czech Republic</v>
      </c>
      <c r="H3">
        <f t="shared" si="1"/>
        <v>-1</v>
      </c>
      <c r="I3">
        <f>if(Results!I2="-",0,IF(OR(AND(H3&gt;0,Results!J2&gt;0),AND(H3&lt;0,Results!J2&lt;0),AND(H3=0,Results!J2=0)),1,0))</f>
        <v>0</v>
      </c>
      <c r="J3">
        <f>IF(K3="-",0,if(K3=Results!I2,3,0))</f>
        <v>0</v>
      </c>
      <c r="K3" t="str">
        <f t="shared" si="2"/>
        <v>1-2</v>
      </c>
      <c r="L3">
        <f t="shared" si="3"/>
        <v>0</v>
      </c>
    </row>
    <row r="4">
      <c r="A4">
        <f>Results!A3</f>
        <v>6</v>
      </c>
      <c r="B4" s="14">
        <f>Results!B3</f>
        <v>46185</v>
      </c>
      <c r="C4" s="15">
        <f>Results!C3</f>
        <v>0.8333333333</v>
      </c>
      <c r="D4" t="str">
        <f>Results!E3</f>
        <v>Canada</v>
      </c>
      <c r="E4" s="9">
        <v>2.0</v>
      </c>
      <c r="F4" s="9">
        <v>1.0</v>
      </c>
      <c r="G4" t="str">
        <f>Results!H3</f>
        <v>Bosnia and Herzegovina</v>
      </c>
      <c r="H4">
        <f t="shared" si="1"/>
        <v>1</v>
      </c>
      <c r="I4">
        <f>if(Results!I3="-",0,IF(OR(AND(H4&gt;0,Results!J3&gt;0),AND(H4&lt;0,Results!J3&lt;0),AND(H4=0,Results!J3=0)),1,0))</f>
        <v>0</v>
      </c>
      <c r="J4">
        <f>IF(K4="-",0,if(K4=Results!I3,3,0))</f>
        <v>0</v>
      </c>
      <c r="K4" t="str">
        <f t="shared" si="2"/>
        <v>2-1</v>
      </c>
      <c r="L4">
        <f t="shared" si="3"/>
        <v>0</v>
      </c>
    </row>
    <row r="5">
      <c r="A5">
        <f>Results!A4</f>
        <v>7</v>
      </c>
      <c r="B5" s="14">
        <f>Results!B4</f>
        <v>46186</v>
      </c>
      <c r="C5" s="15">
        <f>Results!C4</f>
        <v>0.08333333333</v>
      </c>
      <c r="D5" t="str">
        <f>Results!E4</f>
        <v>USA</v>
      </c>
      <c r="E5" s="9">
        <v>2.0</v>
      </c>
      <c r="F5" s="9">
        <v>1.0</v>
      </c>
      <c r="G5" t="str">
        <f>Results!H4</f>
        <v>Paraguay</v>
      </c>
      <c r="H5">
        <f t="shared" si="1"/>
        <v>1</v>
      </c>
      <c r="I5">
        <f>if(Results!I4="-",0,IF(OR(AND(H5&gt;0,Results!J4&gt;0),AND(H5&lt;0,Results!J4&lt;0),AND(H5=0,Results!J4=0)),1,0))</f>
        <v>1</v>
      </c>
      <c r="J5">
        <f>IF(K5="-",0,if(K5=Results!I4,3,0))</f>
        <v>0</v>
      </c>
      <c r="K5" t="str">
        <f t="shared" si="2"/>
        <v>2-1</v>
      </c>
      <c r="L5">
        <f t="shared" si="3"/>
        <v>1</v>
      </c>
    </row>
    <row r="6">
      <c r="A6">
        <f>Results!A5</f>
        <v>7</v>
      </c>
      <c r="B6" s="14">
        <f>Results!B5</f>
        <v>46186</v>
      </c>
      <c r="C6" s="15">
        <f>Results!C5</f>
        <v>0.8333333333</v>
      </c>
      <c r="D6" t="str">
        <f>Results!E5</f>
        <v>Qatar</v>
      </c>
      <c r="E6" s="9">
        <v>0.0</v>
      </c>
      <c r="F6" s="9">
        <v>3.0</v>
      </c>
      <c r="G6" t="str">
        <f>Results!H5</f>
        <v>Switzerland</v>
      </c>
      <c r="H6">
        <f t="shared" si="1"/>
        <v>-3</v>
      </c>
      <c r="I6">
        <f>if(Results!I5="-",0,IF(OR(AND(H6&gt;0,Results!J5&gt;0),AND(H6&lt;0,Results!J5&lt;0),AND(H6=0,Results!J5=0)),1,0))</f>
        <v>0</v>
      </c>
      <c r="J6">
        <f>IF(K6="-",0,if(K6=Results!I5,3,0))</f>
        <v>0</v>
      </c>
      <c r="K6" t="str">
        <f t="shared" si="2"/>
        <v>0-3</v>
      </c>
      <c r="L6">
        <f t="shared" si="3"/>
        <v>0</v>
      </c>
    </row>
    <row r="7">
      <c r="A7">
        <f>Results!A6</f>
        <v>7</v>
      </c>
      <c r="B7" s="14">
        <f>Results!B6</f>
        <v>46186</v>
      </c>
      <c r="C7" s="15">
        <f>Results!C6</f>
        <v>0.9583333333</v>
      </c>
      <c r="D7" t="str">
        <f>Results!E6</f>
        <v>Brazil</v>
      </c>
      <c r="E7" s="9">
        <v>2.0</v>
      </c>
      <c r="F7" s="9">
        <v>1.0</v>
      </c>
      <c r="G7" t="str">
        <f>Results!H6</f>
        <v>Morocco</v>
      </c>
      <c r="H7">
        <f t="shared" si="1"/>
        <v>1</v>
      </c>
      <c r="I7">
        <f>if(Results!I6="-",0,IF(OR(AND(H7&gt;0,Results!J6&gt;0),AND(H7&lt;0,Results!J6&lt;0),AND(H7=0,Results!J6=0)),1,0))</f>
        <v>0</v>
      </c>
      <c r="J7">
        <f>IF(K7="-",0,if(K7=Results!I6,3,0))</f>
        <v>0</v>
      </c>
      <c r="K7" t="str">
        <f t="shared" si="2"/>
        <v>2-1</v>
      </c>
      <c r="L7">
        <f t="shared" si="3"/>
        <v>0</v>
      </c>
    </row>
    <row r="8">
      <c r="A8">
        <f>Results!A7</f>
        <v>1</v>
      </c>
      <c r="B8" s="14">
        <f>Results!B7</f>
        <v>46187</v>
      </c>
      <c r="C8" s="15">
        <f>Results!C7</f>
        <v>0.08333333333</v>
      </c>
      <c r="D8" t="str">
        <f>Results!E7</f>
        <v>Haiti</v>
      </c>
      <c r="E8" s="9">
        <v>0.0</v>
      </c>
      <c r="F8" s="9">
        <v>2.0</v>
      </c>
      <c r="G8" t="str">
        <f>Results!H7</f>
        <v>Scotland</v>
      </c>
      <c r="H8">
        <f t="shared" si="1"/>
        <v>-2</v>
      </c>
      <c r="I8">
        <f>if(Results!I7="-",0,IF(OR(AND(H8&gt;0,Results!J7&gt;0),AND(H8&lt;0,Results!J7&lt;0),AND(H8=0,Results!J7=0)),1,0))</f>
        <v>1</v>
      </c>
      <c r="J8">
        <f>IF(K8="-",0,if(K8=Results!I7,3,0))</f>
        <v>0</v>
      </c>
      <c r="K8" t="str">
        <f t="shared" si="2"/>
        <v>0-2</v>
      </c>
      <c r="L8">
        <f t="shared" si="3"/>
        <v>1</v>
      </c>
    </row>
    <row r="9">
      <c r="A9">
        <f>Results!A8</f>
        <v>1</v>
      </c>
      <c r="B9" s="14">
        <f>Results!B8</f>
        <v>46187</v>
      </c>
      <c r="C9" s="15">
        <f>Results!C8</f>
        <v>0.2083333333</v>
      </c>
      <c r="D9" t="str">
        <f>Results!E8</f>
        <v>Australia</v>
      </c>
      <c r="E9" s="9">
        <v>1.0</v>
      </c>
      <c r="F9" s="9">
        <v>2.0</v>
      </c>
      <c r="G9" t="str">
        <f>Results!H8</f>
        <v>Türkiye</v>
      </c>
      <c r="H9">
        <f t="shared" si="1"/>
        <v>-1</v>
      </c>
      <c r="I9">
        <f>if(Results!I8="-",0,IF(OR(AND(H9&gt;0,Results!J8&gt;0),AND(H9&lt;0,Results!J8&lt;0),AND(H9=0,Results!J8=0)),1,0))</f>
        <v>0</v>
      </c>
      <c r="J9">
        <f>IF(K9="-",0,if(K9=Results!I8,3,0))</f>
        <v>0</v>
      </c>
      <c r="K9" t="str">
        <f t="shared" si="2"/>
        <v>1-2</v>
      </c>
      <c r="L9">
        <f t="shared" si="3"/>
        <v>0</v>
      </c>
    </row>
    <row r="10">
      <c r="A10">
        <f>Results!A9</f>
        <v>1</v>
      </c>
      <c r="B10" s="14">
        <f>Results!B9</f>
        <v>46187</v>
      </c>
      <c r="C10" s="15">
        <f>Results!C9</f>
        <v>0.75</v>
      </c>
      <c r="D10" t="str">
        <f>Results!E9</f>
        <v>Germany</v>
      </c>
      <c r="E10" s="9">
        <v>4.0</v>
      </c>
      <c r="F10" s="9">
        <v>0.0</v>
      </c>
      <c r="G10" t="str">
        <f>Results!H9</f>
        <v>Curaçao</v>
      </c>
      <c r="H10">
        <f t="shared" si="1"/>
        <v>4</v>
      </c>
      <c r="I10">
        <f>if(Results!I9="-",0,IF(OR(AND(H10&gt;0,Results!J9&gt;0),AND(H10&lt;0,Results!J9&lt;0),AND(H10=0,Results!J9=0)),1,0))</f>
        <v>1</v>
      </c>
      <c r="J10">
        <f>IF(K10="-",0,if(K10=Results!I9,3,0))</f>
        <v>0</v>
      </c>
      <c r="K10" t="str">
        <f t="shared" si="2"/>
        <v>4-0</v>
      </c>
      <c r="L10">
        <f t="shared" si="3"/>
        <v>1</v>
      </c>
    </row>
    <row r="11">
      <c r="A11">
        <f>Results!A10</f>
        <v>1</v>
      </c>
      <c r="B11" s="14">
        <f>Results!B10</f>
        <v>46187</v>
      </c>
      <c r="C11" s="15">
        <f>Results!C10</f>
        <v>0.875</v>
      </c>
      <c r="D11" t="str">
        <f>Results!E10</f>
        <v>Netherlands</v>
      </c>
      <c r="E11" s="9">
        <v>2.0</v>
      </c>
      <c r="F11" s="9">
        <v>1.0</v>
      </c>
      <c r="G11" t="str">
        <f>Results!H10</f>
        <v>Japan</v>
      </c>
      <c r="H11">
        <f t="shared" si="1"/>
        <v>1</v>
      </c>
      <c r="I11">
        <f>if(Results!I10="-",0,IF(OR(AND(H11&gt;0,Results!J10&gt;0),AND(H11&lt;0,Results!J10&lt;0),AND(H11=0,Results!J10=0)),1,0))</f>
        <v>0</v>
      </c>
      <c r="J11">
        <f>IF(K11="-",0,if(K11=Results!I10,3,0))</f>
        <v>0</v>
      </c>
      <c r="K11" t="str">
        <f t="shared" si="2"/>
        <v>2-1</v>
      </c>
      <c r="L11">
        <f t="shared" si="3"/>
        <v>0</v>
      </c>
    </row>
    <row r="12">
      <c r="A12">
        <f>Results!A11</f>
        <v>2</v>
      </c>
      <c r="B12" s="14">
        <f>Results!B11</f>
        <v>46188</v>
      </c>
      <c r="C12" s="15">
        <f>Results!C11</f>
        <v>0</v>
      </c>
      <c r="D12" t="str">
        <f>Results!E11</f>
        <v>Ivory Coast</v>
      </c>
      <c r="E12" s="9">
        <v>1.0</v>
      </c>
      <c r="F12" s="9">
        <v>1.0</v>
      </c>
      <c r="G12" t="str">
        <f>Results!H11</f>
        <v>Ecuador</v>
      </c>
      <c r="H12">
        <f t="shared" si="1"/>
        <v>0</v>
      </c>
      <c r="I12">
        <f>if(Results!I11="-",0,IF(OR(AND(H12&gt;0,Results!J11&gt;0),AND(H12&lt;0,Results!J11&lt;0),AND(H12=0,Results!J11=0)),1,0))</f>
        <v>0</v>
      </c>
      <c r="J12">
        <f>IF(K12="-",0,if(K12=Results!I11,3,0))</f>
        <v>0</v>
      </c>
      <c r="K12" t="str">
        <f t="shared" si="2"/>
        <v>1-1</v>
      </c>
      <c r="L12">
        <f t="shared" si="3"/>
        <v>0</v>
      </c>
    </row>
    <row r="13">
      <c r="A13">
        <f>Results!A12</f>
        <v>2</v>
      </c>
      <c r="B13" s="14">
        <f>Results!B12</f>
        <v>46188</v>
      </c>
      <c r="C13" s="15">
        <f>Results!C12</f>
        <v>0.125</v>
      </c>
      <c r="D13" t="str">
        <f>Results!E12</f>
        <v>Sweden</v>
      </c>
      <c r="E13" s="9">
        <v>1.0</v>
      </c>
      <c r="F13" s="9">
        <v>0.0</v>
      </c>
      <c r="G13" t="str">
        <f>Results!H12</f>
        <v>Tunisia</v>
      </c>
      <c r="H13">
        <f t="shared" si="1"/>
        <v>1</v>
      </c>
      <c r="I13">
        <f>if(Results!I12="-",0,IF(OR(AND(H13&gt;0,Results!J12&gt;0),AND(H13&lt;0,Results!J12&lt;0),AND(H13=0,Results!J12=0)),1,0))</f>
        <v>1</v>
      </c>
      <c r="J13">
        <f>IF(K13="-",0,if(K13=Results!I12,3,0))</f>
        <v>0</v>
      </c>
      <c r="K13" t="str">
        <f t="shared" si="2"/>
        <v>1-0</v>
      </c>
      <c r="L13">
        <f t="shared" si="3"/>
        <v>1</v>
      </c>
    </row>
    <row r="14">
      <c r="A14">
        <f>Results!A13</f>
        <v>2</v>
      </c>
      <c r="B14" s="14">
        <f>Results!B13</f>
        <v>46188</v>
      </c>
      <c r="C14" s="15">
        <f>Results!C13</f>
        <v>0.7083333333</v>
      </c>
      <c r="D14" t="str">
        <f>Results!E13</f>
        <v>Spain</v>
      </c>
      <c r="E14" s="9">
        <v>6.0</v>
      </c>
      <c r="F14" s="9">
        <v>0.0</v>
      </c>
      <c r="G14" t="str">
        <f>Results!H13</f>
        <v>Cape Verde</v>
      </c>
      <c r="H14">
        <f t="shared" si="1"/>
        <v>6</v>
      </c>
      <c r="I14">
        <f>if(Results!I13="-",0,IF(OR(AND(H14&gt;0,Results!J13&gt;0),AND(H14&lt;0,Results!J13&lt;0),AND(H14=0,Results!J13=0)),1,0))</f>
        <v>0</v>
      </c>
      <c r="J14">
        <f>IF(K14="-",0,if(K14=Results!I13,3,0))</f>
        <v>0</v>
      </c>
      <c r="K14" t="str">
        <f t="shared" si="2"/>
        <v>6-0</v>
      </c>
      <c r="L14">
        <f t="shared" si="3"/>
        <v>0</v>
      </c>
    </row>
    <row r="15">
      <c r="A15">
        <f>Results!A14</f>
        <v>2</v>
      </c>
      <c r="B15" s="14">
        <f>Results!B14</f>
        <v>46188</v>
      </c>
      <c r="C15" s="15">
        <f>Results!C14</f>
        <v>0.8333333333</v>
      </c>
      <c r="D15" t="str">
        <f>Results!E14</f>
        <v>Belgium</v>
      </c>
      <c r="E15" s="9">
        <v>1.0</v>
      </c>
      <c r="F15" s="9">
        <v>0.0</v>
      </c>
      <c r="G15" t="str">
        <f>Results!H14</f>
        <v>Egypt</v>
      </c>
      <c r="H15">
        <f t="shared" si="1"/>
        <v>1</v>
      </c>
      <c r="I15">
        <f>if(Results!I14="-",0,IF(OR(AND(H15&gt;0,Results!J14&gt;0),AND(H15&lt;0,Results!J14&lt;0),AND(H15=0,Results!J14=0)),1,0))</f>
        <v>0</v>
      </c>
      <c r="J15">
        <f>IF(K15="-",0,if(K15=Results!I14,3,0))</f>
        <v>0</v>
      </c>
      <c r="K15" t="str">
        <f t="shared" si="2"/>
        <v>1-0</v>
      </c>
      <c r="L15">
        <f t="shared" si="3"/>
        <v>0</v>
      </c>
    </row>
    <row r="16">
      <c r="A16">
        <f>Results!A15</f>
        <v>2</v>
      </c>
      <c r="B16" s="14">
        <f>Results!B15</f>
        <v>46188</v>
      </c>
      <c r="C16" s="15">
        <f>Results!C15</f>
        <v>0.9583333333</v>
      </c>
      <c r="D16" t="str">
        <f>Results!E15</f>
        <v>Saudi Arabia</v>
      </c>
      <c r="E16" s="9">
        <v>0.0</v>
      </c>
      <c r="F16" s="9">
        <v>2.0</v>
      </c>
      <c r="G16" t="str">
        <f>Results!H15</f>
        <v>Uruguay</v>
      </c>
      <c r="H16">
        <f t="shared" si="1"/>
        <v>-2</v>
      </c>
      <c r="I16">
        <f>if(Results!I15="-",0,IF(OR(AND(H16&gt;0,Results!J15&gt;0),AND(H16&lt;0,Results!J15&lt;0),AND(H16=0,Results!J15=0)),1,0))</f>
        <v>0</v>
      </c>
      <c r="J16">
        <f>IF(K16="-",0,if(K16=Results!I15,3,0))</f>
        <v>0</v>
      </c>
      <c r="K16" t="str">
        <f t="shared" si="2"/>
        <v>0-2</v>
      </c>
      <c r="L16">
        <f t="shared" si="3"/>
        <v>0</v>
      </c>
    </row>
    <row r="17">
      <c r="A17">
        <f>Results!A16</f>
        <v>3</v>
      </c>
      <c r="B17" s="14">
        <f>Results!B16</f>
        <v>46189</v>
      </c>
      <c r="C17" s="15">
        <f>Results!C16</f>
        <v>0.08333333333</v>
      </c>
      <c r="D17" t="str">
        <f>Results!E16</f>
        <v>Iran</v>
      </c>
      <c r="E17" s="9">
        <v>1.0</v>
      </c>
      <c r="F17" s="9">
        <v>0.0</v>
      </c>
      <c r="G17" t="str">
        <f>Results!H16</f>
        <v>New Zealand</v>
      </c>
      <c r="H17">
        <f t="shared" si="1"/>
        <v>1</v>
      </c>
      <c r="I17">
        <f>if(Results!I16="-",0,IF(OR(AND(H17&gt;0,Results!J16&gt;0),AND(H17&lt;0,Results!J16&lt;0),AND(H17=0,Results!J16=0)),1,0))</f>
        <v>0</v>
      </c>
      <c r="J17">
        <f>IF(K17="-",0,if(K17=Results!I16,3,0))</f>
        <v>0</v>
      </c>
      <c r="K17" t="str">
        <f t="shared" si="2"/>
        <v>1-0</v>
      </c>
      <c r="L17">
        <f t="shared" si="3"/>
        <v>0</v>
      </c>
    </row>
    <row r="18">
      <c r="A18">
        <f>Results!A17</f>
        <v>3</v>
      </c>
      <c r="B18" s="14">
        <f>Results!B17</f>
        <v>46189</v>
      </c>
      <c r="C18" s="15">
        <f>Results!C17</f>
        <v>0.8333333333</v>
      </c>
      <c r="D18" t="str">
        <f>Results!E17</f>
        <v>France</v>
      </c>
      <c r="E18" s="9">
        <v>2.0</v>
      </c>
      <c r="F18" s="9">
        <v>1.0</v>
      </c>
      <c r="G18" t="str">
        <f>Results!H17</f>
        <v>Senegal</v>
      </c>
      <c r="H18">
        <f t="shared" si="1"/>
        <v>1</v>
      </c>
      <c r="I18">
        <f>if(Results!I17="-",0,IF(OR(AND(H18&gt;0,Results!J17&gt;0),AND(H18&lt;0,Results!J17&lt;0),AND(H18=0,Results!J17=0)),1,0))</f>
        <v>1</v>
      </c>
      <c r="J18">
        <f>IF(K18="-",0,if(K18=Results!I17,3,0))</f>
        <v>0</v>
      </c>
      <c r="K18" t="str">
        <f t="shared" si="2"/>
        <v>2-1</v>
      </c>
      <c r="L18">
        <f t="shared" si="3"/>
        <v>1</v>
      </c>
    </row>
    <row r="19">
      <c r="A19">
        <f>Results!A18</f>
        <v>3</v>
      </c>
      <c r="B19" s="14">
        <f>Results!B18</f>
        <v>46189</v>
      </c>
      <c r="C19" s="15">
        <f>Results!C18</f>
        <v>0.9583333333</v>
      </c>
      <c r="D19" t="str">
        <f>Results!E18</f>
        <v>Iraq</v>
      </c>
      <c r="E19" s="9">
        <v>0.0</v>
      </c>
      <c r="F19" s="9">
        <v>2.0</v>
      </c>
      <c r="G19" t="str">
        <f>Results!H18</f>
        <v>Norway</v>
      </c>
      <c r="H19">
        <f t="shared" si="1"/>
        <v>-2</v>
      </c>
      <c r="I19">
        <f>if(Results!I18="-",0,IF(OR(AND(H19&gt;0,Results!J18&gt;0),AND(H19&lt;0,Results!J18&lt;0),AND(H19=0,Results!J18=0)),1,0))</f>
        <v>1</v>
      </c>
      <c r="J19">
        <f>IF(K19="-",0,if(K19=Results!I18,3,0))</f>
        <v>0</v>
      </c>
      <c r="K19" t="str">
        <f t="shared" si="2"/>
        <v>0-2</v>
      </c>
      <c r="L19">
        <f t="shared" si="3"/>
        <v>1</v>
      </c>
    </row>
    <row r="20">
      <c r="A20">
        <f>Results!A19</f>
        <v>4</v>
      </c>
      <c r="B20" s="14">
        <f>Results!B19</f>
        <v>46190</v>
      </c>
      <c r="C20" s="15">
        <f>Results!C19</f>
        <v>0.08333333333</v>
      </c>
      <c r="D20" t="str">
        <f>Results!E19</f>
        <v>Argentina</v>
      </c>
      <c r="E20" s="9">
        <v>2.0</v>
      </c>
      <c r="F20" s="9">
        <v>0.0</v>
      </c>
      <c r="G20" t="str">
        <f>Results!H19</f>
        <v>Algeria</v>
      </c>
      <c r="H20">
        <f t="shared" si="1"/>
        <v>2</v>
      </c>
      <c r="I20">
        <f>if(Results!I19="-",0,IF(OR(AND(H20&gt;0,Results!J19&gt;0),AND(H20&lt;0,Results!J19&lt;0),AND(H20=0,Results!J19=0)),1,0))</f>
        <v>1</v>
      </c>
      <c r="J20">
        <f>IF(K20="-",0,if(K20=Results!I19,3,0))</f>
        <v>0</v>
      </c>
      <c r="K20" t="str">
        <f t="shared" si="2"/>
        <v>2-0</v>
      </c>
      <c r="L20">
        <f t="shared" si="3"/>
        <v>1</v>
      </c>
    </row>
    <row r="21">
      <c r="A21">
        <f>Results!A20</f>
        <v>4</v>
      </c>
      <c r="B21" s="14">
        <f>Results!B20</f>
        <v>46190</v>
      </c>
      <c r="C21" s="15">
        <f>Results!C20</f>
        <v>0.2083333333</v>
      </c>
      <c r="D21" t="str">
        <f>Results!E20</f>
        <v>Austria</v>
      </c>
      <c r="E21" s="9">
        <v>1.0</v>
      </c>
      <c r="F21" s="9">
        <v>0.0</v>
      </c>
      <c r="G21" t="str">
        <f>Results!H20</f>
        <v>Jordan</v>
      </c>
      <c r="H21">
        <f t="shared" si="1"/>
        <v>1</v>
      </c>
      <c r="I21">
        <f>if(Results!I20="-",0,IF(OR(AND(H21&gt;0,Results!J20&gt;0),AND(H21&lt;0,Results!J20&lt;0),AND(H21=0,Results!J20=0)),1,0))</f>
        <v>1</v>
      </c>
      <c r="J21">
        <f>IF(K21="-",0,if(K21=Results!I20,3,0))</f>
        <v>0</v>
      </c>
      <c r="K21" t="str">
        <f t="shared" si="2"/>
        <v>1-0</v>
      </c>
      <c r="L21">
        <f t="shared" si="3"/>
        <v>1</v>
      </c>
    </row>
    <row r="22">
      <c r="A22">
        <f>Results!A21</f>
        <v>4</v>
      </c>
      <c r="B22" s="14">
        <f>Results!B21</f>
        <v>46190</v>
      </c>
      <c r="C22" s="15">
        <f>Results!C21</f>
        <v>0.75</v>
      </c>
      <c r="D22" t="str">
        <f>Results!E21</f>
        <v>Portugal</v>
      </c>
      <c r="E22" s="9">
        <v>2.0</v>
      </c>
      <c r="F22" s="9">
        <v>1.0</v>
      </c>
      <c r="G22" t="str">
        <f>Results!H21</f>
        <v>Congo DR</v>
      </c>
      <c r="H22">
        <f t="shared" si="1"/>
        <v>1</v>
      </c>
      <c r="I22">
        <f>if(Results!I21="-",0,IF(OR(AND(H22&gt;0,Results!J21&gt;0),AND(H22&lt;0,Results!J21&lt;0),AND(H22=0,Results!J21=0)),1,0))</f>
        <v>0</v>
      </c>
      <c r="J22">
        <f>IF(K22="-",0,if(K22=Results!I21,3,0))</f>
        <v>0</v>
      </c>
      <c r="K22" t="str">
        <f t="shared" si="2"/>
        <v>2-1</v>
      </c>
      <c r="L22">
        <f t="shared" si="3"/>
        <v>0</v>
      </c>
    </row>
    <row r="23">
      <c r="A23">
        <f>Results!A22</f>
        <v>4</v>
      </c>
      <c r="B23" s="14">
        <f>Results!B22</f>
        <v>46190</v>
      </c>
      <c r="C23" s="15">
        <f>Results!C22</f>
        <v>0.875</v>
      </c>
      <c r="D23" t="str">
        <f>Results!E22</f>
        <v>England</v>
      </c>
      <c r="E23" s="9">
        <v>1.0</v>
      </c>
      <c r="F23" s="9">
        <v>0.0</v>
      </c>
      <c r="G23" t="str">
        <f>Results!H22</f>
        <v>Croatia</v>
      </c>
      <c r="H23">
        <f t="shared" si="1"/>
        <v>1</v>
      </c>
      <c r="I23">
        <f>if(Results!I22="-",0,IF(OR(AND(H23&gt;0,Results!J22&gt;0),AND(H23&lt;0,Results!J22&lt;0),AND(H23=0,Results!J22=0)),1,0))</f>
        <v>1</v>
      </c>
      <c r="J23">
        <f>IF(K23="-",0,if(K23=Results!I22,3,0))</f>
        <v>0</v>
      </c>
      <c r="K23" t="str">
        <f t="shared" si="2"/>
        <v>1-0</v>
      </c>
      <c r="L23">
        <f t="shared" si="3"/>
        <v>1</v>
      </c>
    </row>
    <row r="24">
      <c r="A24">
        <f>Results!A23</f>
        <v>5</v>
      </c>
      <c r="B24" s="14">
        <f>Results!B23</f>
        <v>46191</v>
      </c>
      <c r="C24" s="15">
        <f>Results!C23</f>
        <v>0</v>
      </c>
      <c r="D24" t="str">
        <f>Results!E23</f>
        <v>Ghana</v>
      </c>
      <c r="E24" s="9">
        <v>2.0</v>
      </c>
      <c r="F24" s="9">
        <v>1.0</v>
      </c>
      <c r="G24" t="str">
        <f>Results!H23</f>
        <v>Panama</v>
      </c>
      <c r="H24">
        <f t="shared" si="1"/>
        <v>1</v>
      </c>
      <c r="I24">
        <f>if(Results!I23="-",0,IF(OR(AND(H24&gt;0,Results!J23&gt;0),AND(H24&lt;0,Results!J23&lt;0),AND(H24=0,Results!J23=0)),1,0))</f>
        <v>1</v>
      </c>
      <c r="J24">
        <f>IF(K24="-",0,if(K24=Results!I23,3,0))</f>
        <v>0</v>
      </c>
      <c r="K24" t="str">
        <f t="shared" si="2"/>
        <v>2-1</v>
      </c>
      <c r="L24">
        <f t="shared" si="3"/>
        <v>1</v>
      </c>
    </row>
    <row r="25">
      <c r="A25">
        <f>Results!A24</f>
        <v>5</v>
      </c>
      <c r="B25" s="14">
        <f>Results!B24</f>
        <v>46191</v>
      </c>
      <c r="C25" s="15">
        <f>Results!C24</f>
        <v>0.125</v>
      </c>
      <c r="D25" t="str">
        <f>Results!E24</f>
        <v>Uzbekistan</v>
      </c>
      <c r="E25" s="9">
        <v>0.0</v>
      </c>
      <c r="F25" s="9">
        <v>2.0</v>
      </c>
      <c r="G25" t="str">
        <f>Results!H24</f>
        <v>Colombia</v>
      </c>
      <c r="H25">
        <f t="shared" si="1"/>
        <v>-2</v>
      </c>
      <c r="I25">
        <f>if(Results!I24="-",0,IF(OR(AND(H25&gt;0,Results!J24&gt;0),AND(H25&lt;0,Results!J24&lt;0),AND(H25=0,Results!J24=0)),1,0))</f>
        <v>1</v>
      </c>
      <c r="J25">
        <f>IF(K25="-",0,if(K25=Results!I24,3,0))</f>
        <v>0</v>
      </c>
      <c r="K25" t="str">
        <f t="shared" si="2"/>
        <v>0-2</v>
      </c>
      <c r="L25">
        <f t="shared" si="3"/>
        <v>1</v>
      </c>
    </row>
    <row r="26">
      <c r="A26">
        <f>Results!A25</f>
        <v>5</v>
      </c>
      <c r="B26" s="14">
        <f>Results!B25</f>
        <v>46191</v>
      </c>
      <c r="C26" s="15">
        <f>Results!C25</f>
        <v>0.7083333333</v>
      </c>
      <c r="D26" t="str">
        <f>Results!E25</f>
        <v>Czechia</v>
      </c>
      <c r="E26" s="9">
        <v>2.0</v>
      </c>
      <c r="F26" s="9">
        <v>0.0</v>
      </c>
      <c r="G26" t="str">
        <f>Results!H25</f>
        <v>South Africa</v>
      </c>
      <c r="H26">
        <f t="shared" si="1"/>
        <v>2</v>
      </c>
      <c r="I26">
        <f>if(Results!I25="-",0,IF(OR(AND(H26&gt;0,Results!J25&gt;0),AND(H26&lt;0,Results!J25&lt;0),AND(H26=0,Results!J25=0)),1,0))</f>
        <v>0</v>
      </c>
      <c r="J26">
        <f>IF(K26="-",0,if(K26=Results!I25,3,0))</f>
        <v>0</v>
      </c>
      <c r="K26" t="str">
        <f t="shared" si="2"/>
        <v>2-0</v>
      </c>
      <c r="L26">
        <f t="shared" si="3"/>
        <v>0</v>
      </c>
    </row>
    <row r="27">
      <c r="A27">
        <f>Results!A26</f>
        <v>5</v>
      </c>
      <c r="B27" s="14">
        <f>Results!B26</f>
        <v>46191</v>
      </c>
      <c r="C27" s="15">
        <f>Results!C26</f>
        <v>0.8333333333</v>
      </c>
      <c r="D27" t="str">
        <f>Results!E26</f>
        <v>Switzerland</v>
      </c>
      <c r="E27" s="9">
        <v>2.0</v>
      </c>
      <c r="F27" s="9">
        <v>1.0</v>
      </c>
      <c r="G27" t="str">
        <f>Results!H26</f>
        <v>Bosnia and Herzegovina</v>
      </c>
      <c r="H27">
        <f t="shared" si="1"/>
        <v>1</v>
      </c>
      <c r="I27">
        <f>if(Results!I26="-",0,IF(OR(AND(H27&gt;0,Results!J26&gt;0),AND(H27&lt;0,Results!J26&lt;0),AND(H27=0,Results!J26=0)),1,0))</f>
        <v>1</v>
      </c>
      <c r="J27">
        <f>IF(K27="-",0,if(K27=Results!I26,3,0))</f>
        <v>0</v>
      </c>
      <c r="K27" t="str">
        <f t="shared" si="2"/>
        <v>2-1</v>
      </c>
      <c r="L27">
        <f t="shared" si="3"/>
        <v>1</v>
      </c>
    </row>
    <row r="28">
      <c r="A28">
        <f>Results!A27</f>
        <v>5</v>
      </c>
      <c r="B28" s="14">
        <f>Results!B27</f>
        <v>46191</v>
      </c>
      <c r="C28" s="15">
        <f>Results!C27</f>
        <v>0.9583333333</v>
      </c>
      <c r="D28" t="str">
        <f>Results!E27</f>
        <v>Canada</v>
      </c>
      <c r="E28" s="9">
        <v>2.0</v>
      </c>
      <c r="F28" s="9">
        <v>1.0</v>
      </c>
      <c r="G28" t="str">
        <f>Results!H27</f>
        <v>Qatar</v>
      </c>
      <c r="H28">
        <f t="shared" si="1"/>
        <v>1</v>
      </c>
      <c r="I28">
        <f>if(Results!I27="-",0,IF(OR(AND(H28&gt;0,Results!J27&gt;0),AND(H28&lt;0,Results!J27&lt;0),AND(H28=0,Results!J27=0)),1,0))</f>
        <v>1</v>
      </c>
      <c r="J28">
        <f>IF(K28="-",0,if(K28=Results!I27,3,0))</f>
        <v>0</v>
      </c>
      <c r="K28" t="str">
        <f t="shared" si="2"/>
        <v>2-1</v>
      </c>
      <c r="L28">
        <f t="shared" si="3"/>
        <v>1</v>
      </c>
    </row>
    <row r="29">
      <c r="A29">
        <f>Results!A28</f>
        <v>6</v>
      </c>
      <c r="B29" s="14">
        <f>Results!B28</f>
        <v>46192</v>
      </c>
      <c r="C29" s="15">
        <f>Results!C28</f>
        <v>0.08333333333</v>
      </c>
      <c r="D29" t="str">
        <f>Results!E28</f>
        <v>Mexico</v>
      </c>
      <c r="E29" s="9">
        <v>1.0</v>
      </c>
      <c r="F29" s="9">
        <v>1.0</v>
      </c>
      <c r="G29" t="str">
        <f>Results!H28</f>
        <v>South Korea</v>
      </c>
      <c r="H29">
        <f t="shared" si="1"/>
        <v>0</v>
      </c>
      <c r="I29">
        <f>if(Results!I28="-",0,IF(OR(AND(H29&gt;0,Results!J28&gt;0),AND(H29&lt;0,Results!J28&lt;0),AND(H29=0,Results!J28=0)),1,0))</f>
        <v>0</v>
      </c>
      <c r="J29">
        <f>IF(K29="-",0,if(K29=Results!I28,3,0))</f>
        <v>0</v>
      </c>
      <c r="K29" t="str">
        <f t="shared" si="2"/>
        <v>1-1</v>
      </c>
      <c r="L29">
        <f t="shared" si="3"/>
        <v>0</v>
      </c>
    </row>
    <row r="30">
      <c r="A30">
        <f>Results!A29</f>
        <v>6</v>
      </c>
      <c r="B30" s="14">
        <f>Results!B29</f>
        <v>46192</v>
      </c>
      <c r="C30" s="15">
        <f>Results!C29</f>
        <v>0.8333333333</v>
      </c>
      <c r="D30" t="str">
        <f>Results!E29</f>
        <v>USA</v>
      </c>
      <c r="E30" s="9">
        <v>2.0</v>
      </c>
      <c r="F30" s="9">
        <v>1.0</v>
      </c>
      <c r="G30" t="str">
        <f>Results!H29</f>
        <v>Australia</v>
      </c>
      <c r="H30">
        <f t="shared" si="1"/>
        <v>1</v>
      </c>
      <c r="I30">
        <f>if(Results!I29="-",0,IF(OR(AND(H30&gt;0,Results!J29&gt;0),AND(H30&lt;0,Results!J29&lt;0),AND(H30=0,Results!J29=0)),1,0))</f>
        <v>1</v>
      </c>
      <c r="J30">
        <f>IF(K30="-",0,if(K30=Results!I29,3,0))</f>
        <v>0</v>
      </c>
      <c r="K30" t="str">
        <f t="shared" si="2"/>
        <v>2-1</v>
      </c>
      <c r="L30">
        <f t="shared" si="3"/>
        <v>1</v>
      </c>
    </row>
    <row r="31">
      <c r="A31">
        <f>Results!A30</f>
        <v>6</v>
      </c>
      <c r="B31" s="14">
        <f>Results!B30</f>
        <v>46192</v>
      </c>
      <c r="C31" s="15">
        <f>Results!C30</f>
        <v>0.9583333333</v>
      </c>
      <c r="D31" t="str">
        <f>Results!E30</f>
        <v>Scotland</v>
      </c>
      <c r="E31" s="9">
        <v>1.0</v>
      </c>
      <c r="F31" s="9">
        <v>2.0</v>
      </c>
      <c r="G31" t="str">
        <f>Results!H30</f>
        <v>Morocco</v>
      </c>
      <c r="H31">
        <f t="shared" si="1"/>
        <v>-1</v>
      </c>
      <c r="I31">
        <f>if(Results!I30="-",0,IF(OR(AND(H31&gt;0,Results!J30&gt;0),AND(H31&lt;0,Results!J30&lt;0),AND(H31=0,Results!J30=0)),1,0))</f>
        <v>1</v>
      </c>
      <c r="J31">
        <f>IF(K31="-",0,if(K31=Results!I30,3,0))</f>
        <v>0</v>
      </c>
      <c r="K31" t="str">
        <f t="shared" si="2"/>
        <v>1-2</v>
      </c>
      <c r="L31">
        <f t="shared" si="3"/>
        <v>1</v>
      </c>
    </row>
    <row r="32">
      <c r="A32">
        <f>Results!A31</f>
        <v>7</v>
      </c>
      <c r="B32" s="14">
        <f>Results!B31</f>
        <v>46193</v>
      </c>
      <c r="C32" s="15">
        <f>Results!C31</f>
        <v>0.0625</v>
      </c>
      <c r="D32" t="str">
        <f>Results!E31</f>
        <v>Brazil</v>
      </c>
      <c r="E32" s="9">
        <v>4.0</v>
      </c>
      <c r="F32" s="9">
        <v>0.0</v>
      </c>
      <c r="G32" t="str">
        <f>Results!H31</f>
        <v>Haiti</v>
      </c>
      <c r="H32">
        <f t="shared" si="1"/>
        <v>4</v>
      </c>
      <c r="I32">
        <f>if(Results!I31="-",0,IF(OR(AND(H32&gt;0,Results!J31&gt;0),AND(H32&lt;0,Results!J31&lt;0),AND(H32=0,Results!J31=0)),1,0))</f>
        <v>1</v>
      </c>
      <c r="J32">
        <f>IF(K32="-",0,if(K32=Results!I31,3,0))</f>
        <v>0</v>
      </c>
      <c r="K32" t="str">
        <f t="shared" si="2"/>
        <v>4-0</v>
      </c>
      <c r="L32">
        <f t="shared" si="3"/>
        <v>1</v>
      </c>
    </row>
    <row r="33">
      <c r="A33">
        <f>Results!A32</f>
        <v>7</v>
      </c>
      <c r="B33" s="14">
        <f>Results!B32</f>
        <v>46193</v>
      </c>
      <c r="C33" s="15">
        <f>Results!C32</f>
        <v>0.1666666667</v>
      </c>
      <c r="D33" t="str">
        <f>Results!E32</f>
        <v>Turkey</v>
      </c>
      <c r="E33" s="9">
        <v>1.0</v>
      </c>
      <c r="F33" s="9">
        <v>1.0</v>
      </c>
      <c r="G33" t="str">
        <f>Results!H32</f>
        <v>Paraguay</v>
      </c>
      <c r="H33">
        <f t="shared" si="1"/>
        <v>0</v>
      </c>
      <c r="I33">
        <f>if(Results!I32="-",0,IF(OR(AND(H33&gt;0,Results!J32&gt;0),AND(H33&lt;0,Results!J32&lt;0),AND(H33=0,Results!J32=0)),1,0))</f>
        <v>0</v>
      </c>
      <c r="J33">
        <f>IF(K33="-",0,if(K33=Results!I32,3,0))</f>
        <v>0</v>
      </c>
      <c r="K33" t="str">
        <f t="shared" si="2"/>
        <v>1-1</v>
      </c>
      <c r="L33">
        <f t="shared" si="3"/>
        <v>0</v>
      </c>
    </row>
    <row r="34">
      <c r="A34">
        <f>Results!A33</f>
        <v>7</v>
      </c>
      <c r="B34" s="14">
        <f>Results!B33</f>
        <v>46193</v>
      </c>
      <c r="C34" s="15">
        <f>Results!C33</f>
        <v>0.75</v>
      </c>
      <c r="D34" t="str">
        <f>Results!E33</f>
        <v>Netherlands</v>
      </c>
      <c r="G34" t="str">
        <f>Results!H33</f>
        <v>Sweden</v>
      </c>
      <c r="H34">
        <f t="shared" si="1"/>
        <v>0</v>
      </c>
      <c r="I34">
        <f>if(Results!I33="-",0,IF(OR(AND(H34&gt;0,Results!J33&gt;0),AND(H34&lt;0,Results!J33&lt;0),AND(H34=0,Results!J33=0)),1,0))</f>
        <v>0</v>
      </c>
      <c r="J34">
        <f>IF(K34="-",0,if(K34=Results!I33,3,0))</f>
        <v>0</v>
      </c>
      <c r="K34" t="str">
        <f t="shared" si="2"/>
        <v>-</v>
      </c>
      <c r="L34">
        <f t="shared" si="3"/>
        <v>0</v>
      </c>
    </row>
    <row r="35">
      <c r="A35">
        <f>Results!A34</f>
        <v>7</v>
      </c>
      <c r="B35" s="14">
        <f>Results!B34</f>
        <v>46193</v>
      </c>
      <c r="C35" s="15">
        <f>Results!C34</f>
        <v>0.875</v>
      </c>
      <c r="D35" t="str">
        <f>Results!E34</f>
        <v>Germany</v>
      </c>
      <c r="G35" t="str">
        <f>Results!H34</f>
        <v>Ivory Coast</v>
      </c>
      <c r="H35">
        <f t="shared" si="1"/>
        <v>0</v>
      </c>
      <c r="I35">
        <f>if(Results!I34="-",0,IF(OR(AND(H35&gt;0,Results!J34&gt;0),AND(H35&lt;0,Results!J34&lt;0),AND(H35=0,Results!J34=0)),1,0))</f>
        <v>0</v>
      </c>
      <c r="J35">
        <f>IF(K35="-",0,if(K35=Results!I34,3,0))</f>
        <v>0</v>
      </c>
      <c r="K35" t="str">
        <f t="shared" si="2"/>
        <v>-</v>
      </c>
      <c r="L35">
        <f t="shared" si="3"/>
        <v>0</v>
      </c>
    </row>
    <row r="36">
      <c r="A36">
        <f>Results!A35</f>
        <v>1</v>
      </c>
      <c r="B36" s="14">
        <f>Results!B35</f>
        <v>46194</v>
      </c>
      <c r="C36" s="15">
        <f>Results!C35</f>
        <v>0.04166666667</v>
      </c>
      <c r="D36" t="str">
        <f>Results!E35</f>
        <v>Ecuador</v>
      </c>
      <c r="G36" t="str">
        <f>Results!H35</f>
        <v>Curaçao</v>
      </c>
      <c r="H36">
        <f t="shared" si="1"/>
        <v>0</v>
      </c>
      <c r="I36">
        <f>if(Results!I35="-",0,IF(OR(AND(H36&gt;0,Results!J35&gt;0),AND(H36&lt;0,Results!J35&lt;0),AND(H36=0,Results!J35=0)),1,0))</f>
        <v>0</v>
      </c>
      <c r="J36">
        <f>IF(K36="-",0,if(K36=Results!I35,3,0))</f>
        <v>0</v>
      </c>
      <c r="K36" t="str">
        <f t="shared" si="2"/>
        <v>-</v>
      </c>
      <c r="L36">
        <f t="shared" si="3"/>
        <v>0</v>
      </c>
    </row>
    <row r="37">
      <c r="A37">
        <f>Results!A36</f>
        <v>1</v>
      </c>
      <c r="B37" s="14">
        <f>Results!B36</f>
        <v>46194</v>
      </c>
      <c r="C37" s="15">
        <f>Results!C36</f>
        <v>0.2083333333</v>
      </c>
      <c r="D37" t="str">
        <f>Results!E36</f>
        <v>Tunisia</v>
      </c>
      <c r="G37" t="str">
        <f>Results!H36</f>
        <v>Japan</v>
      </c>
      <c r="H37">
        <f t="shared" si="1"/>
        <v>0</v>
      </c>
      <c r="I37">
        <f>if(Results!I36="-",0,IF(OR(AND(H37&gt;0,Results!J36&gt;0),AND(H37&lt;0,Results!J36&lt;0),AND(H37=0,Results!J36=0)),1,0))</f>
        <v>0</v>
      </c>
      <c r="J37">
        <f>IF(K37="-",0,if(K37=Results!I36,3,0))</f>
        <v>0</v>
      </c>
      <c r="K37" t="str">
        <f t="shared" si="2"/>
        <v>-</v>
      </c>
      <c r="L37">
        <f t="shared" si="3"/>
        <v>0</v>
      </c>
    </row>
    <row r="38">
      <c r="A38">
        <f>Results!A37</f>
        <v>1</v>
      </c>
      <c r="B38" s="14">
        <f>Results!B37</f>
        <v>46194</v>
      </c>
      <c r="C38" s="15">
        <f>Results!C37</f>
        <v>0.7083333333</v>
      </c>
      <c r="D38" t="str">
        <f>Results!E37</f>
        <v>Spain</v>
      </c>
      <c r="G38" t="str">
        <f>Results!H37</f>
        <v>Saudi Arabia</v>
      </c>
      <c r="H38">
        <f t="shared" si="1"/>
        <v>0</v>
      </c>
      <c r="I38">
        <f>if(Results!I37="-",0,IF(OR(AND(H38&gt;0,Results!J37&gt;0),AND(H38&lt;0,Results!J37&lt;0),AND(H38=0,Results!J37=0)),1,0))</f>
        <v>0</v>
      </c>
      <c r="J38">
        <f>IF(K38="-",0,if(K38=Results!I37,3,0))</f>
        <v>0</v>
      </c>
      <c r="K38" t="str">
        <f t="shared" si="2"/>
        <v>-</v>
      </c>
      <c r="L38">
        <f t="shared" si="3"/>
        <v>0</v>
      </c>
    </row>
    <row r="39">
      <c r="A39">
        <f>Results!A38</f>
        <v>1</v>
      </c>
      <c r="B39" s="14">
        <f>Results!B38</f>
        <v>46194</v>
      </c>
      <c r="C39" s="15">
        <f>Results!C38</f>
        <v>0.8333333333</v>
      </c>
      <c r="D39" t="str">
        <f>Results!E38</f>
        <v>Belgium</v>
      </c>
      <c r="G39" t="str">
        <f>Results!H38</f>
        <v>Iran</v>
      </c>
      <c r="H39">
        <f t="shared" si="1"/>
        <v>0</v>
      </c>
      <c r="I39">
        <f>if(Results!I38="-",0,IF(OR(AND(H39&gt;0,Results!J38&gt;0),AND(H39&lt;0,Results!J38&lt;0),AND(H39=0,Results!J38=0)),1,0))</f>
        <v>0</v>
      </c>
      <c r="J39">
        <f>IF(K39="-",0,if(K39=Results!I38,3,0))</f>
        <v>0</v>
      </c>
      <c r="K39" t="str">
        <f t="shared" si="2"/>
        <v>-</v>
      </c>
      <c r="L39">
        <f t="shared" si="3"/>
        <v>0</v>
      </c>
    </row>
    <row r="40">
      <c r="A40">
        <f>Results!A39</f>
        <v>1</v>
      </c>
      <c r="B40" s="14">
        <f>Results!B39</f>
        <v>46194</v>
      </c>
      <c r="C40" s="15">
        <f>Results!C39</f>
        <v>0.9583333333</v>
      </c>
      <c r="D40" t="str">
        <f>Results!E39</f>
        <v>Uruguay</v>
      </c>
      <c r="G40" t="str">
        <f>Results!H39</f>
        <v>Cape Verde</v>
      </c>
      <c r="H40">
        <f t="shared" si="1"/>
        <v>0</v>
      </c>
      <c r="I40">
        <f>if(Results!I39="-",0,IF(OR(AND(H40&gt;0,Results!J39&gt;0),AND(H40&lt;0,Results!J39&lt;0),AND(H40=0,Results!J39=0)),1,0))</f>
        <v>0</v>
      </c>
      <c r="J40">
        <f>IF(K40="-",0,if(K40=Results!I39,3,0))</f>
        <v>0</v>
      </c>
      <c r="K40" t="str">
        <f t="shared" si="2"/>
        <v>-</v>
      </c>
      <c r="L40">
        <f t="shared" si="3"/>
        <v>0</v>
      </c>
    </row>
    <row r="41">
      <c r="A41">
        <f>Results!A40</f>
        <v>2</v>
      </c>
      <c r="B41" s="14">
        <f>Results!B40</f>
        <v>46195</v>
      </c>
      <c r="C41" s="15">
        <f>Results!C40</f>
        <v>0.08333333333</v>
      </c>
      <c r="D41" t="str">
        <f>Results!E40</f>
        <v>New Zealand</v>
      </c>
      <c r="G41" t="str">
        <f>Results!H40</f>
        <v>Egypt</v>
      </c>
      <c r="H41">
        <f t="shared" si="1"/>
        <v>0</v>
      </c>
      <c r="I41">
        <f>if(Results!I40="-",0,IF(OR(AND(H41&gt;0,Results!J40&gt;0),AND(H41&lt;0,Results!J40&lt;0),AND(H41=0,Results!J40=0)),1,0))</f>
        <v>0</v>
      </c>
      <c r="J41">
        <f>IF(K41="-",0,if(K41=Results!I40,3,0))</f>
        <v>0</v>
      </c>
      <c r="K41" t="str">
        <f t="shared" si="2"/>
        <v>-</v>
      </c>
      <c r="L41">
        <f t="shared" si="3"/>
        <v>0</v>
      </c>
    </row>
    <row r="42">
      <c r="A42">
        <f>Results!A41</f>
        <v>2</v>
      </c>
      <c r="B42" s="14">
        <f>Results!B41</f>
        <v>46195</v>
      </c>
      <c r="C42" s="15">
        <f>Results!C41</f>
        <v>0.7916666667</v>
      </c>
      <c r="D42" t="str">
        <f>Results!E41</f>
        <v>Argentina</v>
      </c>
      <c r="G42" t="str">
        <f>Results!H41</f>
        <v>Austria</v>
      </c>
      <c r="H42">
        <f t="shared" si="1"/>
        <v>0</v>
      </c>
      <c r="I42">
        <f>if(Results!I41="-",0,IF(OR(AND(H42&gt;0,Results!J41&gt;0),AND(H42&lt;0,Results!J41&lt;0),AND(H42=0,Results!J41=0)),1,0))</f>
        <v>0</v>
      </c>
      <c r="J42">
        <f>IF(K42="-",0,if(K42=Results!I41,3,0))</f>
        <v>0</v>
      </c>
      <c r="K42" t="str">
        <f t="shared" si="2"/>
        <v>-</v>
      </c>
      <c r="L42">
        <f t="shared" si="3"/>
        <v>0</v>
      </c>
    </row>
    <row r="43">
      <c r="A43">
        <f>Results!A42</f>
        <v>2</v>
      </c>
      <c r="B43" s="14">
        <f>Results!B42</f>
        <v>46195</v>
      </c>
      <c r="C43" s="15">
        <f>Results!C42</f>
        <v>0.9583333333</v>
      </c>
      <c r="D43" t="str">
        <f>Results!E42</f>
        <v>France</v>
      </c>
      <c r="G43" t="str">
        <f>Results!H42</f>
        <v>Iraq</v>
      </c>
      <c r="H43">
        <f t="shared" si="1"/>
        <v>0</v>
      </c>
      <c r="I43">
        <f>if(Results!I42="-",0,IF(OR(AND(H43&gt;0,Results!J42&gt;0),AND(H43&lt;0,Results!J42&lt;0),AND(H43=0,Results!J42=0)),1,0))</f>
        <v>0</v>
      </c>
      <c r="J43">
        <f>IF(K43="-",0,if(K43=Results!I42,3,0))</f>
        <v>0</v>
      </c>
      <c r="K43" t="str">
        <f t="shared" si="2"/>
        <v>-</v>
      </c>
      <c r="L43">
        <f t="shared" si="3"/>
        <v>0</v>
      </c>
    </row>
    <row r="44">
      <c r="A44">
        <f>Results!A43</f>
        <v>3</v>
      </c>
      <c r="B44" s="14">
        <f>Results!B43</f>
        <v>46196</v>
      </c>
      <c r="C44" s="15">
        <f>Results!C43</f>
        <v>0.08333333333</v>
      </c>
      <c r="D44" t="str">
        <f>Results!E43</f>
        <v>Norway</v>
      </c>
      <c r="G44" t="str">
        <f>Results!H43</f>
        <v>Senegal</v>
      </c>
      <c r="H44">
        <f t="shared" si="1"/>
        <v>0</v>
      </c>
      <c r="I44">
        <f>if(Results!I43="-",0,IF(OR(AND(H44&gt;0,Results!J43&gt;0),AND(H44&lt;0,Results!J43&lt;0),AND(H44=0,Results!J43=0)),1,0))</f>
        <v>0</v>
      </c>
      <c r="J44">
        <f>IF(K44="-",0,if(K44=Results!I43,3,0))</f>
        <v>0</v>
      </c>
      <c r="K44" t="str">
        <f t="shared" si="2"/>
        <v>-</v>
      </c>
      <c r="L44">
        <f t="shared" si="3"/>
        <v>0</v>
      </c>
    </row>
    <row r="45">
      <c r="A45">
        <f>Results!A44</f>
        <v>3</v>
      </c>
      <c r="B45" s="14">
        <f>Results!B44</f>
        <v>46196</v>
      </c>
      <c r="C45" s="15">
        <f>Results!C44</f>
        <v>0.2083333333</v>
      </c>
      <c r="D45" t="str">
        <f>Results!E44</f>
        <v>Jordan</v>
      </c>
      <c r="G45" t="str">
        <f>Results!H44</f>
        <v>Algeria</v>
      </c>
      <c r="H45">
        <f t="shared" si="1"/>
        <v>0</v>
      </c>
      <c r="I45">
        <f>if(Results!I44="-",0,IF(OR(AND(H45&gt;0,Results!J44&gt;0),AND(H45&lt;0,Results!J44&lt;0),AND(H45=0,Results!J44=0)),1,0))</f>
        <v>0</v>
      </c>
      <c r="J45">
        <f>IF(K45="-",0,if(K45=Results!I44,3,0))</f>
        <v>0</v>
      </c>
      <c r="K45" t="str">
        <f t="shared" si="2"/>
        <v>-</v>
      </c>
      <c r="L45">
        <f t="shared" si="3"/>
        <v>0</v>
      </c>
    </row>
    <row r="46">
      <c r="A46">
        <f>Results!A45</f>
        <v>3</v>
      </c>
      <c r="B46" s="14">
        <f>Results!B45</f>
        <v>46196</v>
      </c>
      <c r="C46" s="15">
        <f>Results!C45</f>
        <v>0.7916666667</v>
      </c>
      <c r="D46" t="str">
        <f>Results!E45</f>
        <v>Portugal</v>
      </c>
      <c r="G46" t="str">
        <f>Results!H45</f>
        <v>Uzbekistan</v>
      </c>
      <c r="H46">
        <f t="shared" si="1"/>
        <v>0</v>
      </c>
      <c r="I46">
        <f>if(Results!I45="-",0,IF(OR(AND(H46&gt;0,Results!J45&gt;0),AND(H46&lt;0,Results!J45&lt;0),AND(H46=0,Results!J45=0)),1,0))</f>
        <v>0</v>
      </c>
      <c r="J46">
        <f>IF(K46="-",0,if(K46=Results!I45,3,0))</f>
        <v>0</v>
      </c>
      <c r="K46" t="str">
        <f t="shared" si="2"/>
        <v>-</v>
      </c>
      <c r="L46">
        <f t="shared" si="3"/>
        <v>0</v>
      </c>
    </row>
    <row r="47">
      <c r="A47">
        <f>Results!A46</f>
        <v>3</v>
      </c>
      <c r="B47" s="14">
        <f>Results!B46</f>
        <v>46196</v>
      </c>
      <c r="C47" s="15">
        <f>Results!C46</f>
        <v>0.9166666667</v>
      </c>
      <c r="D47" t="str">
        <f>Results!E46</f>
        <v>England</v>
      </c>
      <c r="G47" t="str">
        <f>Results!H46</f>
        <v>Ghana</v>
      </c>
      <c r="H47">
        <f t="shared" si="1"/>
        <v>0</v>
      </c>
      <c r="I47">
        <f>if(Results!I46="-",0,IF(OR(AND(H47&gt;0,Results!J46&gt;0),AND(H47&lt;0,Results!J46&lt;0),AND(H47=0,Results!J46=0)),1,0))</f>
        <v>0</v>
      </c>
      <c r="J47">
        <f>IF(K47="-",0,if(K47=Results!I46,3,0))</f>
        <v>0</v>
      </c>
      <c r="K47" t="str">
        <f t="shared" si="2"/>
        <v>-</v>
      </c>
      <c r="L47">
        <f t="shared" si="3"/>
        <v>0</v>
      </c>
    </row>
    <row r="48">
      <c r="A48">
        <f>Results!A47</f>
        <v>4</v>
      </c>
      <c r="B48" s="14">
        <f>Results!B47</f>
        <v>46197</v>
      </c>
      <c r="C48" s="15">
        <f>Results!C47</f>
        <v>0.04166666667</v>
      </c>
      <c r="D48" t="str">
        <f>Results!E47</f>
        <v>Panama</v>
      </c>
      <c r="G48" t="str">
        <f>Results!H47</f>
        <v>Croatia</v>
      </c>
      <c r="H48">
        <f t="shared" si="1"/>
        <v>0</v>
      </c>
      <c r="I48">
        <f>if(Results!I47="-",0,IF(OR(AND(H48&gt;0,Results!J47&gt;0),AND(H48&lt;0,Results!J47&lt;0),AND(H48=0,Results!J47=0)),1,0))</f>
        <v>0</v>
      </c>
      <c r="J48">
        <f>IF(K48="-",0,if(K48=Results!I47,3,0))</f>
        <v>0</v>
      </c>
      <c r="K48" t="str">
        <f t="shared" si="2"/>
        <v>-</v>
      </c>
      <c r="L48">
        <f t="shared" si="3"/>
        <v>0</v>
      </c>
    </row>
    <row r="49">
      <c r="A49">
        <f>Results!A48</f>
        <v>4</v>
      </c>
      <c r="B49" s="14">
        <f>Results!B48</f>
        <v>46197</v>
      </c>
      <c r="C49" s="15">
        <f>Results!C48</f>
        <v>0.1666666667</v>
      </c>
      <c r="D49" t="str">
        <f>Results!E48</f>
        <v>Colombia</v>
      </c>
      <c r="G49" t="str">
        <f>Results!H48</f>
        <v>DR Congo</v>
      </c>
      <c r="H49">
        <f t="shared" si="1"/>
        <v>0</v>
      </c>
      <c r="I49">
        <f>if(Results!I48="-",0,IF(OR(AND(H49&gt;0,Results!J48&gt;0),AND(H49&lt;0,Results!J48&lt;0),AND(H49=0,Results!J48=0)),1,0))</f>
        <v>0</v>
      </c>
      <c r="J49">
        <f>IF(K49="-",0,if(K49=Results!I48,3,0))</f>
        <v>0</v>
      </c>
      <c r="K49" t="str">
        <f t="shared" si="2"/>
        <v>-</v>
      </c>
      <c r="L49">
        <f t="shared" si="3"/>
        <v>0</v>
      </c>
    </row>
    <row r="50">
      <c r="A50">
        <f>Results!A49</f>
        <v>4</v>
      </c>
      <c r="B50" s="14">
        <f>Results!B49</f>
        <v>46197</v>
      </c>
      <c r="C50" s="15">
        <f>Results!C49</f>
        <v>0.75</v>
      </c>
      <c r="D50" t="str">
        <f>Results!E49</f>
        <v>Morocco</v>
      </c>
      <c r="G50" t="str">
        <f>Results!H49</f>
        <v>Haiti</v>
      </c>
      <c r="H50">
        <f t="shared" si="1"/>
        <v>0</v>
      </c>
      <c r="I50">
        <f>if(Results!I49="-",0,IF(OR(AND(H50&gt;0,Results!J49&gt;0),AND(H50&lt;0,Results!J49&lt;0),AND(H50=0,Results!J49=0)),1,0))</f>
        <v>0</v>
      </c>
      <c r="J50">
        <f>IF(K50="-",0,if(K50=Results!I49,3,0))</f>
        <v>0</v>
      </c>
      <c r="K50" t="str">
        <f t="shared" si="2"/>
        <v>-</v>
      </c>
      <c r="L50">
        <f t="shared" si="3"/>
        <v>0</v>
      </c>
    </row>
    <row r="51">
      <c r="A51">
        <f>Results!A50</f>
        <v>4</v>
      </c>
      <c r="B51" s="14">
        <f>Results!B50</f>
        <v>46197</v>
      </c>
      <c r="C51" s="15">
        <f>Results!C50</f>
        <v>0.75</v>
      </c>
      <c r="D51" t="str">
        <f>Results!E50</f>
        <v>Scotland</v>
      </c>
      <c r="G51" t="str">
        <f>Results!H50</f>
        <v>Brazil</v>
      </c>
      <c r="H51">
        <f t="shared" si="1"/>
        <v>0</v>
      </c>
      <c r="I51">
        <f>if(Results!I50="-",0,IF(OR(AND(H51&gt;0,Results!J50&gt;0),AND(H51&lt;0,Results!J50&lt;0),AND(H51=0,Results!J50=0)),1,0))</f>
        <v>0</v>
      </c>
      <c r="J51">
        <f>IF(K51="-",0,if(K51=Results!I50,3,0))</f>
        <v>0</v>
      </c>
      <c r="K51" t="str">
        <f t="shared" si="2"/>
        <v>-</v>
      </c>
      <c r="L51">
        <f t="shared" si="3"/>
        <v>0</v>
      </c>
    </row>
    <row r="52">
      <c r="A52">
        <f>Results!A51</f>
        <v>4</v>
      </c>
      <c r="B52" s="14">
        <f>Results!B51</f>
        <v>46197</v>
      </c>
      <c r="C52" s="15">
        <f>Results!C51</f>
        <v>0.875</v>
      </c>
      <c r="D52" t="str">
        <f>Results!E51</f>
        <v>Canada</v>
      </c>
      <c r="G52" t="str">
        <f>Results!H51</f>
        <v>Switzerland</v>
      </c>
      <c r="H52">
        <f t="shared" si="1"/>
        <v>0</v>
      </c>
      <c r="I52">
        <f>if(Results!I51="-",0,IF(OR(AND(H52&gt;0,Results!J51&gt;0),AND(H52&lt;0,Results!J51&lt;0),AND(H52=0,Results!J51=0)),1,0))</f>
        <v>0</v>
      </c>
      <c r="J52">
        <f>IF(K52="-",0,if(K52=Results!I51,3,0))</f>
        <v>0</v>
      </c>
      <c r="K52" t="str">
        <f t="shared" si="2"/>
        <v>-</v>
      </c>
      <c r="L52">
        <f t="shared" si="3"/>
        <v>0</v>
      </c>
    </row>
    <row r="53">
      <c r="A53">
        <f>Results!A52</f>
        <v>4</v>
      </c>
      <c r="B53" s="14">
        <f>Results!B52</f>
        <v>46197</v>
      </c>
      <c r="C53" s="15">
        <f>Results!C52</f>
        <v>0.875</v>
      </c>
      <c r="D53" t="str">
        <f>Results!E52</f>
        <v>Bosnia and Herzegovina</v>
      </c>
      <c r="G53" t="str">
        <f>Results!H52</f>
        <v>Qatar</v>
      </c>
      <c r="H53">
        <f t="shared" si="1"/>
        <v>0</v>
      </c>
      <c r="I53">
        <f>if(Results!I52="-",0,IF(OR(AND(H53&gt;0,Results!J52&gt;0),AND(H53&lt;0,Results!J52&lt;0),AND(H53=0,Results!J52=0)),1,0))</f>
        <v>0</v>
      </c>
      <c r="J53">
        <f>IF(K53="-",0,if(K53=Results!I52,3,0))</f>
        <v>0</v>
      </c>
      <c r="K53" t="str">
        <f t="shared" si="2"/>
        <v>-</v>
      </c>
      <c r="L53">
        <f t="shared" si="3"/>
        <v>0</v>
      </c>
    </row>
    <row r="54">
      <c r="A54">
        <f>Results!A53</f>
        <v>5</v>
      </c>
      <c r="B54" s="14">
        <f>Results!B53</f>
        <v>46198</v>
      </c>
      <c r="C54" s="15">
        <f>Results!C53</f>
        <v>0.08333333333</v>
      </c>
      <c r="D54" t="str">
        <f>Results!E53</f>
        <v>Mexico</v>
      </c>
      <c r="G54" t="str">
        <f>Results!H53</f>
        <v>Czechia</v>
      </c>
      <c r="H54">
        <f t="shared" si="1"/>
        <v>0</v>
      </c>
      <c r="I54">
        <f>if(Results!I53="-",0,IF(OR(AND(H54&gt;0,Results!J53&gt;0),AND(H54&lt;0,Results!J53&lt;0),AND(H54=0,Results!J53=0)),1,0))</f>
        <v>0</v>
      </c>
      <c r="J54">
        <f>IF(K54="-",0,if(K54=Results!I53,3,0))</f>
        <v>0</v>
      </c>
      <c r="K54" t="str">
        <f t="shared" si="2"/>
        <v>-</v>
      </c>
      <c r="L54">
        <f t="shared" si="3"/>
        <v>0</v>
      </c>
    </row>
    <row r="55">
      <c r="A55">
        <f>Results!A54</f>
        <v>5</v>
      </c>
      <c r="B55" s="14">
        <f>Results!B54</f>
        <v>46198</v>
      </c>
      <c r="C55" s="15">
        <f>Results!C54</f>
        <v>0.08333333333</v>
      </c>
      <c r="D55" t="str">
        <f>Results!E54</f>
        <v>South Korea</v>
      </c>
      <c r="G55" t="str">
        <f>Results!H54</f>
        <v>South Africa</v>
      </c>
      <c r="H55">
        <f t="shared" si="1"/>
        <v>0</v>
      </c>
      <c r="I55">
        <f>if(Results!I54="-",0,IF(OR(AND(H55&gt;0,Results!J54&gt;0),AND(H55&lt;0,Results!J54&lt;0),AND(H55=0,Results!J54=0)),1,0))</f>
        <v>0</v>
      </c>
      <c r="J55">
        <f>IF(K55="-",0,if(K55=Results!I54,3,0))</f>
        <v>0</v>
      </c>
      <c r="K55" t="str">
        <f t="shared" si="2"/>
        <v>-</v>
      </c>
      <c r="L55">
        <f t="shared" si="3"/>
        <v>0</v>
      </c>
    </row>
    <row r="56">
      <c r="A56">
        <f>Results!A55</f>
        <v>5</v>
      </c>
      <c r="B56" s="14">
        <f>Results!B55</f>
        <v>46198</v>
      </c>
      <c r="C56" s="15">
        <f>Results!C55</f>
        <v>0.75</v>
      </c>
      <c r="D56" t="str">
        <f>Results!E55</f>
        <v>Ecuador</v>
      </c>
      <c r="G56" t="str">
        <f>Results!H55</f>
        <v>Germany</v>
      </c>
      <c r="H56">
        <f t="shared" si="1"/>
        <v>0</v>
      </c>
      <c r="I56">
        <f>if(Results!I55="-",0,IF(OR(AND(H56&gt;0,Results!J55&gt;0),AND(H56&lt;0,Results!J55&lt;0),AND(H56=0,Results!J55=0)),1,0))</f>
        <v>0</v>
      </c>
      <c r="J56">
        <f>IF(K56="-",0,if(K56=Results!I55,3,0))</f>
        <v>0</v>
      </c>
      <c r="K56" t="str">
        <f t="shared" si="2"/>
        <v>-</v>
      </c>
      <c r="L56">
        <f t="shared" si="3"/>
        <v>0</v>
      </c>
    </row>
    <row r="57">
      <c r="A57">
        <f>Results!A56</f>
        <v>5</v>
      </c>
      <c r="B57" s="14">
        <f>Results!B56</f>
        <v>46198</v>
      </c>
      <c r="C57" s="15">
        <f>Results!C56</f>
        <v>0.75</v>
      </c>
      <c r="D57" t="str">
        <f>Results!E56</f>
        <v>Curaçao</v>
      </c>
      <c r="G57" t="str">
        <f>Results!H56</f>
        <v>Ivory Coast</v>
      </c>
      <c r="H57">
        <f t="shared" si="1"/>
        <v>0</v>
      </c>
      <c r="I57">
        <f>if(Results!I56="-",0,IF(OR(AND(H57&gt;0,Results!J56&gt;0),AND(H57&lt;0,Results!J56&lt;0),AND(H57=0,Results!J56=0)),1,0))</f>
        <v>0</v>
      </c>
      <c r="J57">
        <f>IF(K57="-",0,if(K57=Results!I56,3,0))</f>
        <v>0</v>
      </c>
      <c r="K57" t="str">
        <f t="shared" si="2"/>
        <v>-</v>
      </c>
      <c r="L57">
        <f t="shared" si="3"/>
        <v>0</v>
      </c>
    </row>
    <row r="58">
      <c r="A58">
        <f>Results!A57</f>
        <v>5</v>
      </c>
      <c r="B58" s="14">
        <f>Results!B57</f>
        <v>46198</v>
      </c>
      <c r="C58" s="15">
        <f>Results!C57</f>
        <v>0.875</v>
      </c>
      <c r="D58" t="str">
        <f>Results!E57</f>
        <v>Tunisia</v>
      </c>
      <c r="G58" t="str">
        <f>Results!H57</f>
        <v>Netherlands</v>
      </c>
      <c r="H58">
        <f t="shared" si="1"/>
        <v>0</v>
      </c>
      <c r="I58">
        <f>if(Results!I57="-",0,IF(OR(AND(H58&gt;0,Results!J57&gt;0),AND(H58&lt;0,Results!J57&lt;0),AND(H58=0,Results!J57=0)),1,0))</f>
        <v>0</v>
      </c>
      <c r="J58">
        <f>IF(K58="-",0,if(K58=Results!I57,3,0))</f>
        <v>0</v>
      </c>
      <c r="K58" t="str">
        <f t="shared" si="2"/>
        <v>-</v>
      </c>
      <c r="L58">
        <f t="shared" si="3"/>
        <v>0</v>
      </c>
    </row>
    <row r="59">
      <c r="A59">
        <f>Results!A58</f>
        <v>5</v>
      </c>
      <c r="B59" s="14">
        <f>Results!B58</f>
        <v>46198</v>
      </c>
      <c r="C59" s="15">
        <f>Results!C58</f>
        <v>0.875</v>
      </c>
      <c r="D59" t="str">
        <f>Results!E58</f>
        <v>Japan</v>
      </c>
      <c r="G59" t="str">
        <f>Results!H58</f>
        <v>Sweden</v>
      </c>
      <c r="H59">
        <f t="shared" si="1"/>
        <v>0</v>
      </c>
      <c r="I59">
        <f>if(Results!I58="-",0,IF(OR(AND(H59&gt;0,Results!J58&gt;0),AND(H59&lt;0,Results!J58&lt;0),AND(H59=0,Results!J58=0)),1,0))</f>
        <v>0</v>
      </c>
      <c r="J59">
        <f>IF(K59="-",0,if(K59=Results!I58,3,0))</f>
        <v>0</v>
      </c>
      <c r="K59" t="str">
        <f t="shared" si="2"/>
        <v>-</v>
      </c>
      <c r="L59">
        <f t="shared" si="3"/>
        <v>0</v>
      </c>
    </row>
    <row r="60">
      <c r="A60">
        <f>Results!A59</f>
        <v>6</v>
      </c>
      <c r="B60" s="14">
        <f>Results!B59</f>
        <v>46199</v>
      </c>
      <c r="C60" s="15">
        <f>Results!C59</f>
        <v>0.04166666667</v>
      </c>
      <c r="D60" t="str">
        <f>Results!E59</f>
        <v>USA</v>
      </c>
      <c r="G60" t="str">
        <f>Results!H59</f>
        <v>Türkiye</v>
      </c>
      <c r="H60">
        <f t="shared" si="1"/>
        <v>0</v>
      </c>
      <c r="I60">
        <f>if(Results!I59="-",0,IF(OR(AND(H60&gt;0,Results!J59&gt;0),AND(H60&lt;0,Results!J59&lt;0),AND(H60=0,Results!J59=0)),1,0))</f>
        <v>0</v>
      </c>
      <c r="J60">
        <f>IF(K60="-",0,if(K60=Results!I59,3,0))</f>
        <v>0</v>
      </c>
      <c r="K60" t="str">
        <f t="shared" si="2"/>
        <v>-</v>
      </c>
      <c r="L60">
        <f t="shared" si="3"/>
        <v>0</v>
      </c>
    </row>
    <row r="61">
      <c r="A61">
        <f>Results!A60</f>
        <v>6</v>
      </c>
      <c r="B61" s="14">
        <f>Results!B60</f>
        <v>46199</v>
      </c>
      <c r="C61" s="15">
        <f>Results!C60</f>
        <v>0.04166666667</v>
      </c>
      <c r="D61" t="str">
        <f>Results!E60</f>
        <v>Paraguay</v>
      </c>
      <c r="G61" t="str">
        <f>Results!H60</f>
        <v>Australia</v>
      </c>
      <c r="H61">
        <f t="shared" si="1"/>
        <v>0</v>
      </c>
      <c r="I61">
        <f>if(Results!I60="-",0,IF(OR(AND(H61&gt;0,Results!J60&gt;0),AND(H61&lt;0,Results!J60&lt;0),AND(H61=0,Results!J60=0)),1,0))</f>
        <v>0</v>
      </c>
      <c r="J61">
        <f>IF(K61="-",0,if(K61=Results!I60,3,0))</f>
        <v>0</v>
      </c>
      <c r="K61" t="str">
        <f t="shared" si="2"/>
        <v>-</v>
      </c>
      <c r="L61">
        <f t="shared" si="3"/>
        <v>0</v>
      </c>
    </row>
    <row r="62">
      <c r="A62">
        <f>Results!A61</f>
        <v>6</v>
      </c>
      <c r="B62" s="14">
        <f>Results!B61</f>
        <v>46199</v>
      </c>
      <c r="C62" s="15">
        <f>Results!C61</f>
        <v>0.75</v>
      </c>
      <c r="D62" t="str">
        <f>Results!E61</f>
        <v>Belgium</v>
      </c>
      <c r="G62" t="str">
        <f>Results!H61</f>
        <v>New Zealand</v>
      </c>
      <c r="H62">
        <f t="shared" si="1"/>
        <v>0</v>
      </c>
      <c r="I62">
        <f>if(Results!I61="-",0,IF(OR(AND(H62&gt;0,Results!J61&gt;0),AND(H62&lt;0,Results!J61&lt;0),AND(H62=0,Results!J61=0)),1,0))</f>
        <v>0</v>
      </c>
      <c r="J62">
        <f>IF(K62="-",0,if(K62=Results!I61,3,0))</f>
        <v>0</v>
      </c>
      <c r="K62" t="str">
        <f t="shared" si="2"/>
        <v>-</v>
      </c>
      <c r="L62">
        <f t="shared" si="3"/>
        <v>0</v>
      </c>
    </row>
    <row r="63">
      <c r="A63">
        <f>Results!A62</f>
        <v>6</v>
      </c>
      <c r="B63" s="14">
        <f>Results!B62</f>
        <v>46199</v>
      </c>
      <c r="C63" s="15">
        <f>Results!C62</f>
        <v>0.75</v>
      </c>
      <c r="D63" t="str">
        <f>Results!E62</f>
        <v>Egypt</v>
      </c>
      <c r="G63" t="str">
        <f>Results!H62</f>
        <v>Iran</v>
      </c>
      <c r="H63">
        <f t="shared" si="1"/>
        <v>0</v>
      </c>
      <c r="I63">
        <f>if(Results!I62="-",0,IF(OR(AND(H63&gt;0,Results!J62&gt;0),AND(H63&lt;0,Results!J62&lt;0),AND(H63=0,Results!J62=0)),1,0))</f>
        <v>0</v>
      </c>
      <c r="J63">
        <f>IF(K63="-",0,if(K63=Results!I62,3,0))</f>
        <v>0</v>
      </c>
      <c r="K63" t="str">
        <f t="shared" si="2"/>
        <v>-</v>
      </c>
      <c r="L63">
        <f t="shared" si="3"/>
        <v>0</v>
      </c>
    </row>
    <row r="64">
      <c r="A64">
        <f>Results!A63</f>
        <v>6</v>
      </c>
      <c r="B64" s="14">
        <f>Results!B63</f>
        <v>46199</v>
      </c>
      <c r="C64" s="15">
        <f>Results!C63</f>
        <v>0.875</v>
      </c>
      <c r="D64" t="str">
        <f>Results!E63</f>
        <v>Spain</v>
      </c>
      <c r="G64" t="str">
        <f>Results!H63</f>
        <v>Uruguay</v>
      </c>
      <c r="H64">
        <f t="shared" si="1"/>
        <v>0</v>
      </c>
      <c r="I64">
        <f>if(Results!I63="-",0,IF(OR(AND(H64&gt;0,Results!J63&gt;0),AND(H64&lt;0,Results!J63&lt;0),AND(H64=0,Results!J63=0)),1,0))</f>
        <v>0</v>
      </c>
      <c r="J64">
        <f>IF(K64="-",0,if(K64=Results!I63,3,0))</f>
        <v>0</v>
      </c>
      <c r="K64" t="str">
        <f t="shared" si="2"/>
        <v>-</v>
      </c>
      <c r="L64">
        <f t="shared" si="3"/>
        <v>0</v>
      </c>
    </row>
    <row r="65">
      <c r="A65">
        <f>Results!A64</f>
        <v>6</v>
      </c>
      <c r="B65" s="14">
        <f>Results!B64</f>
        <v>46199</v>
      </c>
      <c r="C65" s="15">
        <f>Results!C64</f>
        <v>0.875</v>
      </c>
      <c r="D65" t="str">
        <f>Results!E64</f>
        <v>Cape Verde</v>
      </c>
      <c r="G65" t="str">
        <f>Results!H64</f>
        <v>Saudi Arabia</v>
      </c>
      <c r="H65">
        <f t="shared" si="1"/>
        <v>0</v>
      </c>
      <c r="I65">
        <f>if(Results!I64="-",0,IF(OR(AND(H65&gt;0,Results!J64&gt;0),AND(H65&lt;0,Results!J64&lt;0),AND(H65=0,Results!J64=0)),1,0))</f>
        <v>0</v>
      </c>
      <c r="J65">
        <f>IF(K65="-",0,if(K65=Results!I64,3,0))</f>
        <v>0</v>
      </c>
      <c r="K65" t="str">
        <f t="shared" si="2"/>
        <v>-</v>
      </c>
      <c r="L65">
        <f t="shared" si="3"/>
        <v>0</v>
      </c>
    </row>
    <row r="66">
      <c r="A66">
        <f>Results!A65</f>
        <v>7</v>
      </c>
      <c r="B66" s="14">
        <f>Results!B65</f>
        <v>46200</v>
      </c>
      <c r="C66" s="15">
        <f>Results!C65</f>
        <v>0.04166666667</v>
      </c>
      <c r="D66" t="str">
        <f>Results!E65</f>
        <v>France</v>
      </c>
      <c r="G66" t="str">
        <f>Results!H65</f>
        <v>Norway</v>
      </c>
      <c r="H66">
        <f t="shared" si="1"/>
        <v>0</v>
      </c>
      <c r="I66">
        <f>if(Results!I65="-",0,IF(OR(AND(H66&gt;0,Results!J65&gt;0),AND(H66&lt;0,Results!J65&lt;0),AND(H66=0,Results!J65=0)),1,0))</f>
        <v>0</v>
      </c>
      <c r="J66">
        <f>IF(K66="-",0,if(K66=Results!I65,3,0))</f>
        <v>0</v>
      </c>
      <c r="K66" t="str">
        <f t="shared" si="2"/>
        <v>-</v>
      </c>
      <c r="L66">
        <f t="shared" si="3"/>
        <v>0</v>
      </c>
    </row>
    <row r="67">
      <c r="A67">
        <f>Results!A66</f>
        <v>7</v>
      </c>
      <c r="B67" s="14">
        <f>Results!B66</f>
        <v>46200</v>
      </c>
      <c r="C67" s="15">
        <f>Results!C66</f>
        <v>0.04166666667</v>
      </c>
      <c r="D67" t="str">
        <f>Results!E66</f>
        <v>Senegal</v>
      </c>
      <c r="G67" t="str">
        <f>Results!H66</f>
        <v>Iraq</v>
      </c>
      <c r="H67">
        <f t="shared" si="1"/>
        <v>0</v>
      </c>
      <c r="I67">
        <f>if(Results!I66="-",0,IF(OR(AND(H67&gt;0,Results!J66&gt;0),AND(H67&lt;0,Results!J66&lt;0),AND(H67=0,Results!J66=0)),1,0))</f>
        <v>0</v>
      </c>
      <c r="J67">
        <f>IF(K67="-",0,if(K67=Results!I66,3,0))</f>
        <v>0</v>
      </c>
      <c r="K67" t="str">
        <f t="shared" si="2"/>
        <v>-</v>
      </c>
      <c r="L67">
        <f t="shared" si="3"/>
        <v>0</v>
      </c>
    </row>
    <row r="68">
      <c r="A68">
        <f>Results!A67</f>
        <v>7</v>
      </c>
      <c r="B68" s="14">
        <f>Results!B67</f>
        <v>46200</v>
      </c>
      <c r="C68" s="15">
        <f>Results!C67</f>
        <v>0.75</v>
      </c>
      <c r="D68" t="str">
        <f>Results!E67</f>
        <v>Jordan</v>
      </c>
      <c r="G68" t="str">
        <f>Results!H67</f>
        <v>Argentina</v>
      </c>
      <c r="H68">
        <f t="shared" si="1"/>
        <v>0</v>
      </c>
      <c r="I68">
        <f>if(Results!I67="-",0,IF(OR(AND(H68&gt;0,Results!J67&gt;0),AND(H68&lt;0,Results!J67&lt;0),AND(H68=0,Results!J67=0)),1,0))</f>
        <v>0</v>
      </c>
      <c r="J68">
        <f>IF(K68="-",0,if(K68=Results!I67,3,0))</f>
        <v>0</v>
      </c>
      <c r="K68" t="str">
        <f t="shared" si="2"/>
        <v>-</v>
      </c>
      <c r="L68">
        <f t="shared" si="3"/>
        <v>0</v>
      </c>
    </row>
    <row r="69">
      <c r="A69">
        <f>Results!A68</f>
        <v>7</v>
      </c>
      <c r="B69" s="14">
        <f>Results!B68</f>
        <v>46200</v>
      </c>
      <c r="C69" s="15">
        <f>Results!C68</f>
        <v>0.75</v>
      </c>
      <c r="D69" t="str">
        <f>Results!E68</f>
        <v>Algeria</v>
      </c>
      <c r="G69" t="str">
        <f>Results!H68</f>
        <v>Austria</v>
      </c>
      <c r="H69">
        <f t="shared" si="1"/>
        <v>0</v>
      </c>
      <c r="I69">
        <f>if(Results!I68="-",0,IF(OR(AND(H69&gt;0,Results!J68&gt;0),AND(H69&lt;0,Results!J68&lt;0),AND(H69=0,Results!J68=0)),1,0))</f>
        <v>0</v>
      </c>
      <c r="J69">
        <f>IF(K69="-",0,if(K69=Results!I68,3,0))</f>
        <v>0</v>
      </c>
      <c r="K69" t="str">
        <f t="shared" si="2"/>
        <v>-</v>
      </c>
      <c r="L69">
        <f t="shared" si="3"/>
        <v>0</v>
      </c>
    </row>
    <row r="70">
      <c r="A70">
        <f>Results!A69</f>
        <v>7</v>
      </c>
      <c r="B70" s="14">
        <f>Results!B69</f>
        <v>46200</v>
      </c>
      <c r="C70" s="15">
        <f>Results!C69</f>
        <v>0.875</v>
      </c>
      <c r="D70" t="str">
        <f>Results!E69</f>
        <v>Colombia</v>
      </c>
      <c r="G70" t="str">
        <f>Results!H69</f>
        <v>Portugal</v>
      </c>
      <c r="H70">
        <f t="shared" si="1"/>
        <v>0</v>
      </c>
      <c r="I70">
        <f>if(Results!I69="-",0,IF(OR(AND(H70&gt;0,Results!J69&gt;0),AND(H70&lt;0,Results!J69&lt;0),AND(H70=0,Results!J69=0)),1,0))</f>
        <v>0</v>
      </c>
      <c r="J70">
        <f>IF(K70="-",0,if(K70=Results!I69,3,0))</f>
        <v>0</v>
      </c>
      <c r="K70" t="str">
        <f t="shared" si="2"/>
        <v>-</v>
      </c>
      <c r="L70">
        <f t="shared" si="3"/>
        <v>0</v>
      </c>
    </row>
    <row r="71">
      <c r="A71">
        <f>Results!A70</f>
        <v>7</v>
      </c>
      <c r="B71" s="14">
        <f>Results!B70</f>
        <v>46200</v>
      </c>
      <c r="C71" s="15">
        <f>Results!C70</f>
        <v>0.875</v>
      </c>
      <c r="D71" t="str">
        <f>Results!E70</f>
        <v>Congo DR</v>
      </c>
      <c r="G71" t="str">
        <f>Results!H70</f>
        <v>Uzbekistan</v>
      </c>
      <c r="H71">
        <f t="shared" si="1"/>
        <v>0</v>
      </c>
      <c r="I71">
        <f>if(Results!I70="-",0,IF(OR(AND(H71&gt;0,Results!J70&gt;0),AND(H71&lt;0,Results!J70&lt;0),AND(H71=0,Results!J70=0)),1,0))</f>
        <v>0</v>
      </c>
      <c r="J71">
        <f>IF(K71="-",0,if(K71=Results!I70,3,0))</f>
        <v>0</v>
      </c>
      <c r="K71" t="str">
        <f t="shared" si="2"/>
        <v>-</v>
      </c>
      <c r="L71">
        <f t="shared" si="3"/>
        <v>0</v>
      </c>
    </row>
    <row r="72">
      <c r="A72">
        <f>Results!A71</f>
        <v>1</v>
      </c>
      <c r="B72" s="14">
        <f>Results!B71</f>
        <v>46201</v>
      </c>
      <c r="C72" s="15">
        <f>Results!C71</f>
        <v>0.04166666667</v>
      </c>
      <c r="D72" t="str">
        <f>Results!E71</f>
        <v>Panama</v>
      </c>
      <c r="G72" t="str">
        <f>Results!H71</f>
        <v>England</v>
      </c>
      <c r="H72">
        <f t="shared" si="1"/>
        <v>0</v>
      </c>
      <c r="I72">
        <f>if(Results!I71="-",0,IF(OR(AND(H72&gt;0,Results!J71&gt;0),AND(H72&lt;0,Results!J71&lt;0),AND(H72=0,Results!J71=0)),1,0))</f>
        <v>0</v>
      </c>
      <c r="J72">
        <f>IF(K72="-",0,if(K72=Results!I71,3,0))</f>
        <v>0</v>
      </c>
      <c r="K72" t="str">
        <f t="shared" si="2"/>
        <v>-</v>
      </c>
      <c r="L72">
        <f t="shared" si="3"/>
        <v>0</v>
      </c>
    </row>
    <row r="73">
      <c r="A73">
        <f>Results!A72</f>
        <v>1</v>
      </c>
      <c r="B73" s="14">
        <f>Results!B72</f>
        <v>46201</v>
      </c>
      <c r="C73" s="15">
        <f>Results!C72</f>
        <v>0.04166666667</v>
      </c>
      <c r="D73" t="str">
        <f>Results!E72</f>
        <v>Croatia</v>
      </c>
      <c r="G73" t="str">
        <f>Results!H72</f>
        <v>Ghana</v>
      </c>
      <c r="H73">
        <f t="shared" si="1"/>
        <v>0</v>
      </c>
      <c r="I73">
        <f>if(Results!I72="-",0,IF(OR(AND(H73&gt;0,Results!J72&gt;0),AND(H73&lt;0,Results!J72&lt;0),AND(H73=0,Results!J72=0)),1,0))</f>
        <v>0</v>
      </c>
      <c r="J73">
        <f>IF(K73="-",0,if(K73=Results!I72,3,0))</f>
        <v>0</v>
      </c>
      <c r="K73" t="str">
        <f t="shared" si="2"/>
        <v>-</v>
      </c>
      <c r="L73">
        <f t="shared" si="3"/>
        <v>0</v>
      </c>
    </row>
    <row r="74">
      <c r="A74">
        <f>Results!A73</f>
        <v>1</v>
      </c>
      <c r="B74" s="14">
        <f>Results!B73</f>
        <v>46201</v>
      </c>
      <c r="C74" s="15">
        <f>Results!C73</f>
        <v>0.75</v>
      </c>
      <c r="D74" t="str">
        <f>Results!E73</f>
        <v>Winner Group A</v>
      </c>
      <c r="G74" t="str">
        <f>Results!H73</f>
        <v>3rd Place Group C/D/E</v>
      </c>
      <c r="H74">
        <f t="shared" si="1"/>
        <v>0</v>
      </c>
      <c r="I74">
        <f>if(Results!I73="-",0,IF(OR(AND(H74&gt;0,Results!J73&gt;0),AND(H74&lt;0,Results!J73&lt;0),AND(H74=0,Results!J73=0)),1,0))</f>
        <v>0</v>
      </c>
      <c r="J74">
        <f>IF(K74="-",0,if(K74=Results!I73,3,0))</f>
        <v>0</v>
      </c>
      <c r="K74" t="str">
        <f t="shared" si="2"/>
        <v>-</v>
      </c>
      <c r="L74">
        <f t="shared" si="3"/>
        <v>0</v>
      </c>
    </row>
    <row r="75">
      <c r="A75">
        <f>Results!A74</f>
        <v>1</v>
      </c>
      <c r="B75" s="14">
        <f>Results!B74</f>
        <v>46201</v>
      </c>
      <c r="C75" s="15">
        <f>Results!C74</f>
        <v>0.8958333333</v>
      </c>
      <c r="D75" t="str">
        <f>Results!E74</f>
        <v>Runner-up Group A</v>
      </c>
      <c r="G75" t="str">
        <f>Results!H74</f>
        <v>Runner-up Group B</v>
      </c>
      <c r="H75">
        <f t="shared" si="1"/>
        <v>0</v>
      </c>
      <c r="I75">
        <f>if(Results!I74="-",0,IF(OR(AND(H75&gt;0,Results!J74&gt;0),AND(H75&lt;0,Results!J74&lt;0),AND(H75=0,Results!J74=0)),1,0))</f>
        <v>0</v>
      </c>
      <c r="J75">
        <f>IF(K75="-",0,if(K75=Results!I74,3,0))</f>
        <v>0</v>
      </c>
      <c r="K75" t="str">
        <f t="shared" si="2"/>
        <v>-</v>
      </c>
      <c r="L75">
        <f t="shared" si="3"/>
        <v>0</v>
      </c>
    </row>
    <row r="76">
      <c r="A76">
        <f>Results!A75</f>
        <v>2</v>
      </c>
      <c r="B76" s="14">
        <f>Results!B75</f>
        <v>46202</v>
      </c>
      <c r="C76" s="15">
        <f>Results!C75</f>
        <v>0.75</v>
      </c>
      <c r="D76" t="str">
        <f>Results!E75</f>
        <v>Winner Group C</v>
      </c>
      <c r="G76" t="str">
        <f>Results!H75</f>
        <v>Runner-up Group D</v>
      </c>
      <c r="H76">
        <f t="shared" si="1"/>
        <v>0</v>
      </c>
      <c r="I76">
        <f>if(Results!I75="-",0,IF(OR(AND(H76&gt;0,Results!J75&gt;0),AND(H76&lt;0,Results!J75&lt;0),AND(H76=0,Results!J75=0)),1,0))</f>
        <v>0</v>
      </c>
      <c r="J76">
        <f>IF(K76="-",0,if(K76=Results!I75,3,0))</f>
        <v>0</v>
      </c>
      <c r="K76" t="str">
        <f t="shared" si="2"/>
        <v>-</v>
      </c>
      <c r="L76">
        <f t="shared" si="3"/>
        <v>0</v>
      </c>
    </row>
    <row r="77">
      <c r="A77">
        <f>Results!A76</f>
        <v>2</v>
      </c>
      <c r="B77" s="14">
        <f>Results!B76</f>
        <v>46202</v>
      </c>
      <c r="C77" s="15">
        <f>Results!C76</f>
        <v>0.8958333333</v>
      </c>
      <c r="D77" t="str">
        <f>Results!E76</f>
        <v>Winner Group E</v>
      </c>
      <c r="G77" t="str">
        <f>Results!H76</f>
        <v>3rd Place Group A/B/C</v>
      </c>
      <c r="H77">
        <f t="shared" si="1"/>
        <v>0</v>
      </c>
      <c r="I77">
        <f>if(Results!I76="-",0,IF(OR(AND(H77&gt;0,Results!J76&gt;0),AND(H77&lt;0,Results!J76&lt;0),AND(H77=0,Results!J76=0)),1,0))</f>
        <v>0</v>
      </c>
      <c r="J77">
        <f>IF(K77="-",0,if(K77=Results!I76,3,0))</f>
        <v>0</v>
      </c>
      <c r="K77" t="str">
        <f t="shared" si="2"/>
        <v>-</v>
      </c>
      <c r="L77">
        <f t="shared" si="3"/>
        <v>0</v>
      </c>
    </row>
    <row r="78">
      <c r="A78">
        <f>Results!A77</f>
        <v>3</v>
      </c>
      <c r="B78" s="14">
        <f>Results!B77</f>
        <v>46203</v>
      </c>
      <c r="C78" s="15">
        <f>Results!C77</f>
        <v>0.75</v>
      </c>
      <c r="D78" t="str">
        <f>Results!E77</f>
        <v>Winner Group F</v>
      </c>
      <c r="G78" t="str">
        <f>Results!H77</f>
        <v>Runner-up Group C</v>
      </c>
      <c r="H78">
        <f t="shared" si="1"/>
        <v>0</v>
      </c>
      <c r="I78">
        <f>if(Results!I77="-",0,IF(OR(AND(H78&gt;0,Results!J77&gt;0),AND(H78&lt;0,Results!J77&lt;0),AND(H78=0,Results!J77=0)),1,0))</f>
        <v>0</v>
      </c>
      <c r="J78">
        <f>IF(K78="-",0,if(K78=Results!I77,3,0))</f>
        <v>0</v>
      </c>
      <c r="K78" t="str">
        <f t="shared" si="2"/>
        <v>-</v>
      </c>
      <c r="L78">
        <f t="shared" si="3"/>
        <v>0</v>
      </c>
    </row>
    <row r="79">
      <c r="A79">
        <f>Results!A78</f>
        <v>3</v>
      </c>
      <c r="B79" s="14">
        <f>Results!B78</f>
        <v>46203</v>
      </c>
      <c r="C79" s="15">
        <f>Results!C78</f>
        <v>0.9166666667</v>
      </c>
      <c r="D79" t="str">
        <f>Results!E78</f>
        <v>Winner Group B</v>
      </c>
      <c r="G79" t="str">
        <f>Results!H78</f>
        <v>3rd Place Group E/F/G</v>
      </c>
      <c r="H79">
        <f t="shared" si="1"/>
        <v>0</v>
      </c>
      <c r="I79">
        <f>if(Results!I78="-",0,IF(OR(AND(H79&gt;0,Results!J78&gt;0),AND(H79&lt;0,Results!J78&lt;0),AND(H79=0,Results!J78=0)),1,0))</f>
        <v>0</v>
      </c>
      <c r="J79">
        <f>IF(K79="-",0,if(K79=Results!I78,3,0))</f>
        <v>0</v>
      </c>
      <c r="K79" t="str">
        <f t="shared" si="2"/>
        <v>-</v>
      </c>
      <c r="L79">
        <f t="shared" si="3"/>
        <v>0</v>
      </c>
    </row>
    <row r="80">
      <c r="A80">
        <f>Results!A79</f>
        <v>4</v>
      </c>
      <c r="B80" s="16">
        <f>Results!B79</f>
        <v>46204</v>
      </c>
      <c r="C80" s="15">
        <f>Results!C79</f>
        <v>0.04166666667</v>
      </c>
      <c r="D80" t="str">
        <f>Results!E79</f>
        <v>Winner Group G</v>
      </c>
      <c r="G80" t="str">
        <f>Results!H79</f>
        <v>Runner-up Group H</v>
      </c>
      <c r="H80">
        <f t="shared" si="1"/>
        <v>0</v>
      </c>
      <c r="I80">
        <f>if(Results!I79="-",0,IF(OR(AND(H80&gt;0,Results!J79&gt;0),AND(H80&lt;0,Results!J79&lt;0),AND(H80=0,Results!J79=0)),1,0))</f>
        <v>0</v>
      </c>
      <c r="J80">
        <f>IF(K80="-",0,if(K80=Results!I79,3,0))</f>
        <v>0</v>
      </c>
      <c r="K80" t="str">
        <f t="shared" si="2"/>
        <v>-</v>
      </c>
      <c r="L80">
        <f t="shared" si="3"/>
        <v>0</v>
      </c>
    </row>
    <row r="81">
      <c r="A81">
        <f>Results!A80</f>
        <v>4</v>
      </c>
      <c r="B81" s="16">
        <f>Results!B80</f>
        <v>46204</v>
      </c>
      <c r="C81" s="15">
        <f>Results!C80</f>
        <v>0.75</v>
      </c>
      <c r="D81" t="str">
        <f>Results!E80</f>
        <v>Winner Group D</v>
      </c>
      <c r="G81" t="str">
        <f>Results!H80</f>
        <v>3rd Place Group I/J/K</v>
      </c>
      <c r="H81">
        <f t="shared" si="1"/>
        <v>0</v>
      </c>
      <c r="I81">
        <f>if(Results!I80="-",0,IF(OR(AND(H81&gt;0,Results!J80&gt;0),AND(H81&lt;0,Results!J80&lt;0),AND(H81=0,Results!J80=0)),1,0))</f>
        <v>0</v>
      </c>
      <c r="J81">
        <f>IF(K81="-",0,if(K81=Results!I80,3,0))</f>
        <v>0</v>
      </c>
      <c r="K81" t="str">
        <f t="shared" si="2"/>
        <v>-</v>
      </c>
      <c r="L81">
        <f t="shared" si="3"/>
        <v>0</v>
      </c>
    </row>
    <row r="82">
      <c r="A82">
        <f>Results!A81</f>
        <v>4</v>
      </c>
      <c r="B82" s="16">
        <f>Results!B81</f>
        <v>46204</v>
      </c>
      <c r="C82" s="15">
        <f>Results!C81</f>
        <v>0.875</v>
      </c>
      <c r="D82" t="str">
        <f>Results!E81</f>
        <v>Winner Group H</v>
      </c>
      <c r="G82" t="str">
        <f>Results!H81</f>
        <v>Runner-up Group G</v>
      </c>
      <c r="H82">
        <f t="shared" si="1"/>
        <v>0</v>
      </c>
      <c r="I82">
        <f>if(Results!I81="-",0,IF(OR(AND(H82&gt;0,Results!J81&gt;0),AND(H82&lt;0,Results!J81&lt;0),AND(H82=0,Results!J81=0)),1,0))</f>
        <v>0</v>
      </c>
      <c r="J82">
        <f>IF(K82="-",0,if(K82=Results!I81,3,0))</f>
        <v>0</v>
      </c>
      <c r="K82" t="str">
        <f t="shared" si="2"/>
        <v>-</v>
      </c>
      <c r="L82">
        <f t="shared" si="3"/>
        <v>0</v>
      </c>
    </row>
    <row r="83">
      <c r="A83">
        <f>Results!A82</f>
        <v>5</v>
      </c>
      <c r="B83" s="16">
        <f>Results!B82</f>
        <v>46205</v>
      </c>
      <c r="C83" s="15">
        <f>Results!C82</f>
        <v>0.04166666667</v>
      </c>
      <c r="D83" t="str">
        <f>Results!E82</f>
        <v>Winner Group I</v>
      </c>
      <c r="G83" t="str">
        <f>Results!H82</f>
        <v>3rd Place Group B/C/F</v>
      </c>
      <c r="H83">
        <f t="shared" si="1"/>
        <v>0</v>
      </c>
      <c r="I83">
        <f>if(Results!I82="-",0,IF(OR(AND(H83&gt;0,Results!J82&gt;0),AND(H83&lt;0,Results!J82&lt;0),AND(H83=0,Results!J82=0)),1,0))</f>
        <v>0</v>
      </c>
      <c r="J83">
        <f>IF(K83="-",0,if(K83=Results!I82,3,0))</f>
        <v>0</v>
      </c>
      <c r="K83" t="str">
        <f t="shared" si="2"/>
        <v>-</v>
      </c>
      <c r="L83">
        <f t="shared" si="3"/>
        <v>0</v>
      </c>
    </row>
    <row r="84">
      <c r="A84">
        <f>Results!A83</f>
        <v>5</v>
      </c>
      <c r="B84" s="16">
        <f>Results!B83</f>
        <v>46205</v>
      </c>
      <c r="C84" s="15">
        <f>Results!C83</f>
        <v>0.75</v>
      </c>
      <c r="D84" t="str">
        <f>Results!E83</f>
        <v>Winner Group J</v>
      </c>
      <c r="G84" t="str">
        <f>Results!H83</f>
        <v>Runner-up Group K</v>
      </c>
      <c r="H84">
        <f t="shared" si="1"/>
        <v>0</v>
      </c>
      <c r="I84">
        <f>if(Results!I83="-",0,IF(OR(AND(H84&gt;0,Results!J83&gt;0),AND(H84&lt;0,Results!J83&lt;0),AND(H84=0,Results!J83=0)),1,0))</f>
        <v>0</v>
      </c>
      <c r="J84">
        <f>IF(K84="-",0,if(K84=Results!I83,3,0))</f>
        <v>0</v>
      </c>
      <c r="K84" t="str">
        <f t="shared" si="2"/>
        <v>-</v>
      </c>
      <c r="L84">
        <f t="shared" si="3"/>
        <v>0</v>
      </c>
    </row>
    <row r="85">
      <c r="A85">
        <f>Results!A84</f>
        <v>5</v>
      </c>
      <c r="B85" s="16">
        <f>Results!B84</f>
        <v>46205</v>
      </c>
      <c r="C85" s="15">
        <f>Results!C84</f>
        <v>0.875</v>
      </c>
      <c r="D85" t="str">
        <f>Results!E84</f>
        <v>Winner Group K</v>
      </c>
      <c r="G85" t="str">
        <f>Results!H84</f>
        <v>Runner-up Group J</v>
      </c>
      <c r="H85">
        <f t="shared" si="1"/>
        <v>0</v>
      </c>
      <c r="I85">
        <f>if(Results!I84="-",0,IF(OR(AND(H85&gt;0,Results!J84&gt;0),AND(H85&lt;0,Results!J84&lt;0),AND(H85=0,Results!J84=0)),1,0))</f>
        <v>0</v>
      </c>
      <c r="J85">
        <f>IF(K85="-",0,if(K85=Results!I84,3,0))</f>
        <v>0</v>
      </c>
      <c r="K85" t="str">
        <f t="shared" si="2"/>
        <v>-</v>
      </c>
      <c r="L85">
        <f t="shared" si="3"/>
        <v>0</v>
      </c>
    </row>
    <row r="86">
      <c r="A86">
        <f>Results!A85</f>
        <v>6</v>
      </c>
      <c r="B86" s="16">
        <f>Results!B85</f>
        <v>46206</v>
      </c>
      <c r="C86" s="15">
        <f>Results!C85</f>
        <v>0.04166666667</v>
      </c>
      <c r="D86" t="str">
        <f>Results!E85</f>
        <v>Winner Group L</v>
      </c>
      <c r="G86" t="str">
        <f>Results!H85</f>
        <v>3rd Place Group A/D/H</v>
      </c>
      <c r="H86">
        <f t="shared" si="1"/>
        <v>0</v>
      </c>
      <c r="I86">
        <f>if(Results!I85="-",0,IF(OR(AND(H86&gt;0,Results!J85&gt;0),AND(H86&lt;0,Results!J85&lt;0),AND(H86=0,Results!J85=0)),1,0))</f>
        <v>0</v>
      </c>
      <c r="J86">
        <f>IF(K86="-",0,if(K86=Results!I85,3,0))</f>
        <v>0</v>
      </c>
      <c r="K86" t="str">
        <f t="shared" si="2"/>
        <v>-</v>
      </c>
      <c r="L86">
        <f t="shared" si="3"/>
        <v>0</v>
      </c>
    </row>
    <row r="87">
      <c r="A87">
        <f>Results!A86</f>
        <v>6</v>
      </c>
      <c r="B87" s="16">
        <f>Results!B86</f>
        <v>46206</v>
      </c>
      <c r="C87" s="15">
        <f>Results!C86</f>
        <v>0.75</v>
      </c>
      <c r="D87" t="str">
        <f>Results!E86</f>
        <v>Runner-up Group D</v>
      </c>
      <c r="G87" t="str">
        <f>Results!H86</f>
        <v>Runner-up Group E</v>
      </c>
      <c r="H87">
        <f t="shared" si="1"/>
        <v>0</v>
      </c>
      <c r="I87">
        <f>if(Results!I86="-",0,IF(OR(AND(H87&gt;0,Results!J86&gt;0),AND(H87&lt;0,Results!J86&lt;0),AND(H87=0,Results!J86=0)),1,0))</f>
        <v>0</v>
      </c>
      <c r="J87">
        <f>IF(K87="-",0,if(K87=Results!I86,3,0))</f>
        <v>0</v>
      </c>
      <c r="K87" t="str">
        <f t="shared" si="2"/>
        <v>-</v>
      </c>
      <c r="L87">
        <f t="shared" si="3"/>
        <v>0</v>
      </c>
    </row>
    <row r="88">
      <c r="A88">
        <f>Results!A87</f>
        <v>6</v>
      </c>
      <c r="B88" s="16">
        <f>Results!B87</f>
        <v>46206</v>
      </c>
      <c r="C88" s="15">
        <f>Results!C87</f>
        <v>0.875</v>
      </c>
      <c r="D88" t="str">
        <f>Results!E87</f>
        <v>Runner-up Group H</v>
      </c>
      <c r="G88" t="str">
        <f>Results!H87</f>
        <v>Runner-up Group I</v>
      </c>
      <c r="H88">
        <f t="shared" si="1"/>
        <v>0</v>
      </c>
      <c r="I88">
        <f>if(Results!I87="-",0,IF(OR(AND(H88&gt;0,Results!J87&gt;0),AND(H88&lt;0,Results!J87&lt;0),AND(H88=0,Results!J87=0)),1,0))</f>
        <v>0</v>
      </c>
      <c r="J88">
        <f>IF(K88="-",0,if(K88=Results!I87,3,0))</f>
        <v>0</v>
      </c>
      <c r="K88" t="str">
        <f t="shared" si="2"/>
        <v>-</v>
      </c>
      <c r="L88">
        <f t="shared" si="3"/>
        <v>0</v>
      </c>
    </row>
    <row r="89">
      <c r="A89">
        <f>Results!A88</f>
        <v>7</v>
      </c>
      <c r="B89" s="16">
        <f>Results!B88</f>
        <v>46207</v>
      </c>
      <c r="C89" s="15">
        <f>Results!C88</f>
        <v>0.04166666667</v>
      </c>
      <c r="D89" t="str">
        <f>Results!E88</f>
        <v>Runner-up Group L</v>
      </c>
      <c r="G89" t="str">
        <f>Results!H88</f>
        <v>Runner-up Group K</v>
      </c>
      <c r="H89">
        <f t="shared" si="1"/>
        <v>0</v>
      </c>
      <c r="I89">
        <f>if(Results!I88="-",0,IF(OR(AND(H89&gt;0,Results!J88&gt;0),AND(H89&lt;0,Results!J88&lt;0),AND(H89=0,Results!J88=0)),1,0))</f>
        <v>0</v>
      </c>
      <c r="J89">
        <f>IF(K89="-",0,if(K89=Results!I88,3,0))</f>
        <v>0</v>
      </c>
      <c r="K89" t="str">
        <f t="shared" si="2"/>
        <v>-</v>
      </c>
      <c r="L89">
        <f t="shared" si="3"/>
        <v>0</v>
      </c>
    </row>
    <row r="90">
      <c r="A90">
        <f>Results!A89</f>
        <v>7</v>
      </c>
      <c r="B90" s="16">
        <f>Results!B89</f>
        <v>46207</v>
      </c>
      <c r="C90" s="15">
        <f>Results!C89</f>
        <v>0.75</v>
      </c>
      <c r="D90" t="str">
        <f>Results!E89</f>
        <v>Winner Match 73</v>
      </c>
      <c r="G90" t="str">
        <f>Results!H89</f>
        <v>Winner Match 74</v>
      </c>
      <c r="H90">
        <f t="shared" si="1"/>
        <v>0</v>
      </c>
      <c r="I90">
        <f>if(Results!I89="-",0,IF(OR(AND(H90&gt;0,Results!J89&gt;0),AND(H90&lt;0,Results!J89&lt;0),AND(H90=0,Results!J89=0)),1,0))</f>
        <v>0</v>
      </c>
      <c r="J90">
        <f>IF(K90="-",0,if(K90=Results!I89,3,0))</f>
        <v>0</v>
      </c>
      <c r="K90" t="str">
        <f t="shared" si="2"/>
        <v>-</v>
      </c>
      <c r="L90">
        <f t="shared" si="3"/>
        <v>0</v>
      </c>
    </row>
    <row r="91">
      <c r="A91">
        <f>Results!A90</f>
        <v>7</v>
      </c>
      <c r="B91" s="16">
        <f>Results!B90</f>
        <v>46207</v>
      </c>
      <c r="C91" s="15">
        <f>Results!C90</f>
        <v>0.8958333333</v>
      </c>
      <c r="D91" t="str">
        <f>Results!E90</f>
        <v>Winner Match 75</v>
      </c>
      <c r="G91" t="str">
        <f>Results!H90</f>
        <v>Winner Match 76</v>
      </c>
      <c r="H91">
        <f t="shared" si="1"/>
        <v>0</v>
      </c>
      <c r="I91">
        <f>if(Results!I90="-",0,IF(OR(AND(H91&gt;0,Results!J90&gt;0),AND(H91&lt;0,Results!J90&lt;0),AND(H91=0,Results!J90=0)),1,0))</f>
        <v>0</v>
      </c>
      <c r="J91">
        <f>IF(K91="-",0,if(K91=Results!I90,3,0))</f>
        <v>0</v>
      </c>
      <c r="K91" t="str">
        <f t="shared" si="2"/>
        <v>-</v>
      </c>
      <c r="L91">
        <f t="shared" si="3"/>
        <v>0</v>
      </c>
    </row>
    <row r="92">
      <c r="A92">
        <f>Results!A91</f>
        <v>1</v>
      </c>
      <c r="B92" s="16">
        <f>Results!B91</f>
        <v>46208</v>
      </c>
      <c r="C92" s="15">
        <f>Results!C91</f>
        <v>0.75</v>
      </c>
      <c r="D92" t="str">
        <f>Results!E91</f>
        <v>Winner Match 77</v>
      </c>
      <c r="G92" t="str">
        <f>Results!H91</f>
        <v>Winner Match 78</v>
      </c>
      <c r="H92">
        <f t="shared" si="1"/>
        <v>0</v>
      </c>
      <c r="I92">
        <f>if(Results!I91="-",0,IF(OR(AND(H92&gt;0,Results!J91&gt;0),AND(H92&lt;0,Results!J91&lt;0),AND(H92=0,Results!J91=0)),1,0))</f>
        <v>0</v>
      </c>
      <c r="J92">
        <f>IF(K92="-",0,if(K92=Results!I91,3,0))</f>
        <v>0</v>
      </c>
      <c r="K92" t="str">
        <f t="shared" si="2"/>
        <v>-</v>
      </c>
      <c r="L92">
        <f t="shared" si="3"/>
        <v>0</v>
      </c>
    </row>
    <row r="93">
      <c r="A93">
        <f>Results!A92</f>
        <v>1</v>
      </c>
      <c r="B93" s="16">
        <f>Results!B92</f>
        <v>46208</v>
      </c>
      <c r="C93" s="15">
        <f>Results!C92</f>
        <v>0.8958333333</v>
      </c>
      <c r="D93" t="str">
        <f>Results!E92</f>
        <v>Winner Match 79</v>
      </c>
      <c r="G93" t="str">
        <f>Results!H92</f>
        <v>Winner Match 80</v>
      </c>
      <c r="H93">
        <f t="shared" si="1"/>
        <v>0</v>
      </c>
      <c r="I93">
        <f>if(Results!I92="-",0,IF(OR(AND(H93&gt;0,Results!J92&gt;0),AND(H93&lt;0,Results!J92&lt;0),AND(H93=0,Results!J92=0)),1,0))</f>
        <v>0</v>
      </c>
      <c r="J93">
        <f>IF(K93="-",0,if(K93=Results!I92,3,0))</f>
        <v>0</v>
      </c>
      <c r="K93" t="str">
        <f t="shared" si="2"/>
        <v>-</v>
      </c>
      <c r="L93">
        <f t="shared" si="3"/>
        <v>0</v>
      </c>
    </row>
    <row r="94">
      <c r="A94">
        <f>Results!A93</f>
        <v>2</v>
      </c>
      <c r="B94" s="16">
        <f>Results!B93</f>
        <v>46209</v>
      </c>
      <c r="C94" s="15">
        <f>Results!C93</f>
        <v>0.75</v>
      </c>
      <c r="D94" t="str">
        <f>Results!E93</f>
        <v>Winner Match 81</v>
      </c>
      <c r="G94" t="str">
        <f>Results!H93</f>
        <v>Winner Match 82</v>
      </c>
      <c r="H94">
        <f t="shared" si="1"/>
        <v>0</v>
      </c>
      <c r="I94">
        <f>if(Results!I93="-",0,IF(OR(AND(H94&gt;0,Results!J93&gt;0),AND(H94&lt;0,Results!J93&lt;0),AND(H94=0,Results!J93=0)),1,0))</f>
        <v>0</v>
      </c>
      <c r="J94">
        <f>IF(K94="-",0,if(K94=Results!I93,3,0))</f>
        <v>0</v>
      </c>
      <c r="K94" t="str">
        <f t="shared" si="2"/>
        <v>-</v>
      </c>
      <c r="L94">
        <f t="shared" si="3"/>
        <v>0</v>
      </c>
    </row>
    <row r="95">
      <c r="A95">
        <f>Results!A94</f>
        <v>2</v>
      </c>
      <c r="B95" s="16">
        <f>Results!B94</f>
        <v>46209</v>
      </c>
      <c r="C95" s="15">
        <f>Results!C94</f>
        <v>0.8958333333</v>
      </c>
      <c r="D95" t="str">
        <f>Results!E94</f>
        <v>Winner Match 83</v>
      </c>
      <c r="G95" t="str">
        <f>Results!H94</f>
        <v>Winner Match 84</v>
      </c>
      <c r="H95">
        <f t="shared" si="1"/>
        <v>0</v>
      </c>
      <c r="I95">
        <f>if(Results!I94="-",0,IF(OR(AND(H95&gt;0,Results!J94&gt;0),AND(H95&lt;0,Results!J94&lt;0),AND(H95=0,Results!J94=0)),1,0))</f>
        <v>0</v>
      </c>
      <c r="J95">
        <f>IF(K95="-",0,if(K95=Results!I94,3,0))</f>
        <v>0</v>
      </c>
      <c r="K95" t="str">
        <f t="shared" si="2"/>
        <v>-</v>
      </c>
      <c r="L95">
        <f t="shared" si="3"/>
        <v>0</v>
      </c>
    </row>
    <row r="96">
      <c r="A96">
        <f>Results!A95</f>
        <v>3</v>
      </c>
      <c r="B96" s="16">
        <f>Results!B95</f>
        <v>46210</v>
      </c>
      <c r="C96" s="15">
        <f>Results!C95</f>
        <v>0.75</v>
      </c>
      <c r="D96" t="str">
        <f>Results!E95</f>
        <v>Winner Match 85</v>
      </c>
      <c r="G96" t="str">
        <f>Results!H95</f>
        <v>Winner Match 86</v>
      </c>
      <c r="H96">
        <f t="shared" si="1"/>
        <v>0</v>
      </c>
      <c r="I96">
        <f>if(Results!I95="-",0,IF(OR(AND(H96&gt;0,Results!J95&gt;0),AND(H96&lt;0,Results!J95&lt;0),AND(H96=0,Results!J95=0)),1,0))</f>
        <v>0</v>
      </c>
      <c r="J96">
        <f>IF(K96="-",0,if(K96=Results!I95,3,0))</f>
        <v>0</v>
      </c>
      <c r="K96" t="str">
        <f t="shared" si="2"/>
        <v>-</v>
      </c>
      <c r="L96">
        <f t="shared" si="3"/>
        <v>0</v>
      </c>
    </row>
    <row r="97">
      <c r="A97">
        <f>Results!A96</f>
        <v>3</v>
      </c>
      <c r="B97" s="16">
        <f>Results!B96</f>
        <v>46210</v>
      </c>
      <c r="C97" s="15">
        <f>Results!C96</f>
        <v>0.8958333333</v>
      </c>
      <c r="D97" t="str">
        <f>Results!E96</f>
        <v>Winner Match 87</v>
      </c>
      <c r="G97" t="str">
        <f>Results!H96</f>
        <v>Winner Match 88</v>
      </c>
      <c r="H97">
        <f t="shared" si="1"/>
        <v>0</v>
      </c>
      <c r="I97">
        <f>if(Results!I96="-",0,IF(OR(AND(H97&gt;0,Results!J96&gt;0),AND(H97&lt;0,Results!J96&lt;0),AND(H97=0,Results!J96=0)),1,0))</f>
        <v>0</v>
      </c>
      <c r="J97">
        <f>IF(K97="-",0,if(K97=Results!I96,3,0))</f>
        <v>0</v>
      </c>
      <c r="K97" t="str">
        <f t="shared" si="2"/>
        <v>-</v>
      </c>
      <c r="L97">
        <f t="shared" si="3"/>
        <v>0</v>
      </c>
    </row>
    <row r="98">
      <c r="A98">
        <f>Results!A97</f>
        <v>5</v>
      </c>
      <c r="B98" s="16">
        <f>Results!B97</f>
        <v>46212</v>
      </c>
      <c r="C98" s="15">
        <f>Results!C97</f>
        <v>0.8333333333</v>
      </c>
      <c r="D98" t="str">
        <f>Results!E97</f>
        <v>Winner Match 89</v>
      </c>
      <c r="G98" t="str">
        <f>Results!H97</f>
        <v>Winner Match 90</v>
      </c>
      <c r="H98">
        <f t="shared" si="1"/>
        <v>0</v>
      </c>
      <c r="I98">
        <f>if(Results!I97="-",0,IF(OR(AND(H98&gt;0,Results!J97&gt;0),AND(H98&lt;0,Results!J97&lt;0),AND(H98=0,Results!J97=0)),1,0))</f>
        <v>0</v>
      </c>
      <c r="J98">
        <f>IF(K98="-",0,if(K98=Results!I97,3,0))</f>
        <v>0</v>
      </c>
      <c r="K98" t="str">
        <f t="shared" si="2"/>
        <v>-</v>
      </c>
      <c r="L98">
        <f t="shared" si="3"/>
        <v>0</v>
      </c>
    </row>
    <row r="99">
      <c r="A99">
        <f>Results!A98</f>
        <v>6</v>
      </c>
      <c r="B99" s="14">
        <f>Results!B98</f>
        <v>46213</v>
      </c>
      <c r="C99" s="15">
        <f>Results!C98</f>
        <v>0.8333333333</v>
      </c>
      <c r="D99" t="str">
        <f>Results!E98</f>
        <v>Winner Match 91</v>
      </c>
      <c r="G99" t="str">
        <f>Results!H98</f>
        <v>Winner Match 92</v>
      </c>
      <c r="H99">
        <f t="shared" si="1"/>
        <v>0</v>
      </c>
      <c r="I99">
        <f>if(Results!I98="-",0,IF(OR(AND(H99&gt;0,Results!J98&gt;0),AND(H99&lt;0,Results!J98&lt;0),AND(H99=0,Results!J98=0)),1,0))</f>
        <v>0</v>
      </c>
      <c r="J99">
        <f>IF(K99="-",0,if(K99=Results!I98,3,0))</f>
        <v>0</v>
      </c>
      <c r="K99" t="str">
        <f t="shared" si="2"/>
        <v>-</v>
      </c>
      <c r="L99">
        <f t="shared" si="3"/>
        <v>0</v>
      </c>
    </row>
    <row r="100">
      <c r="A100">
        <f>Results!A99</f>
        <v>7</v>
      </c>
      <c r="B100" s="14">
        <f>Results!B99</f>
        <v>46214</v>
      </c>
      <c r="C100" s="15">
        <f>Results!C99</f>
        <v>0.75</v>
      </c>
      <c r="D100" t="str">
        <f>Results!E99</f>
        <v>Winner Match 93</v>
      </c>
      <c r="G100" t="str">
        <f>Results!H99</f>
        <v>Winner Match 94</v>
      </c>
      <c r="H100">
        <f t="shared" si="1"/>
        <v>0</v>
      </c>
      <c r="I100">
        <f>if(Results!I99="-",0,IF(OR(AND(H100&gt;0,Results!J99&gt;0),AND(H100&lt;0,Results!J99&lt;0),AND(H100=0,Results!J99=0)),1,0))</f>
        <v>0</v>
      </c>
      <c r="J100">
        <f>IF(K100="-",0,if(K100=Results!I99,3,0))</f>
        <v>0</v>
      </c>
      <c r="K100" t="str">
        <f t="shared" si="2"/>
        <v>-</v>
      </c>
      <c r="L100">
        <f t="shared" si="3"/>
        <v>0</v>
      </c>
    </row>
    <row r="101">
      <c r="A101">
        <f>Results!A100</f>
        <v>7</v>
      </c>
      <c r="B101" s="14">
        <f>Results!B100</f>
        <v>46214</v>
      </c>
      <c r="C101" s="15">
        <f>Results!C100</f>
        <v>0.8958333333</v>
      </c>
      <c r="D101" t="str">
        <f>Results!E100</f>
        <v>Winner Match 95</v>
      </c>
      <c r="G101" t="str">
        <f>Results!H100</f>
        <v>Winner Match 96</v>
      </c>
      <c r="H101">
        <f t="shared" si="1"/>
        <v>0</v>
      </c>
      <c r="I101">
        <f>if(Results!I100="-",0,IF(OR(AND(H101&gt;0,Results!J100&gt;0),AND(H101&lt;0,Results!J100&lt;0),AND(H101=0,Results!J100=0)),1,0))</f>
        <v>0</v>
      </c>
      <c r="J101">
        <f>IF(K101="-",0,if(K101=Results!I100,3,0))</f>
        <v>0</v>
      </c>
      <c r="K101" t="str">
        <f t="shared" si="2"/>
        <v>-</v>
      </c>
      <c r="L101">
        <f t="shared" si="3"/>
        <v>0</v>
      </c>
    </row>
    <row r="102">
      <c r="A102">
        <f>Results!A101</f>
        <v>3</v>
      </c>
      <c r="B102" s="14">
        <f>Results!B101</f>
        <v>46217</v>
      </c>
      <c r="C102" s="15">
        <f>Results!C101</f>
        <v>0.8333333333</v>
      </c>
      <c r="D102" t="str">
        <f>Results!E101</f>
        <v>Winner Match 97</v>
      </c>
      <c r="G102" t="str">
        <f>Results!H101</f>
        <v>Winner Match 98</v>
      </c>
      <c r="H102">
        <f t="shared" si="1"/>
        <v>0</v>
      </c>
      <c r="I102">
        <f>if(Results!I101="-",0,IF(OR(AND(H102&gt;0,Results!J101&gt;0),AND(H102&lt;0,Results!J101&lt;0),AND(H102=0,Results!J101=0)),1,0))</f>
        <v>0</v>
      </c>
      <c r="J102">
        <f>IF(K102="-",0,if(K102=Results!I101,3,0))</f>
        <v>0</v>
      </c>
      <c r="K102" t="str">
        <f t="shared" si="2"/>
        <v>-</v>
      </c>
      <c r="L102">
        <f t="shared" si="3"/>
        <v>0</v>
      </c>
    </row>
    <row r="103">
      <c r="A103">
        <f>Results!A102</f>
        <v>4</v>
      </c>
      <c r="B103" s="14">
        <f>Results!B102</f>
        <v>46218</v>
      </c>
      <c r="C103" s="15">
        <f>Results!C102</f>
        <v>0.8333333333</v>
      </c>
      <c r="D103" t="str">
        <f>Results!E102</f>
        <v>Winner Match 99</v>
      </c>
      <c r="G103" t="str">
        <f>Results!H102</f>
        <v>Winner Match 100</v>
      </c>
      <c r="H103">
        <f t="shared" si="1"/>
        <v>0</v>
      </c>
      <c r="I103">
        <f>if(Results!I102="-",0,IF(OR(AND(H103&gt;0,Results!J102&gt;0),AND(H103&lt;0,Results!J102&lt;0),AND(H103=0,Results!J102=0)),1,0))</f>
        <v>0</v>
      </c>
      <c r="J103">
        <f>IF(K103="-",0,if(K103=Results!I102,3,0))</f>
        <v>0</v>
      </c>
      <c r="K103" t="str">
        <f t="shared" si="2"/>
        <v>-</v>
      </c>
      <c r="L103">
        <f t="shared" si="3"/>
        <v>0</v>
      </c>
    </row>
    <row r="104">
      <c r="A104">
        <f>Results!A103</f>
        <v>7</v>
      </c>
      <c r="B104" s="14">
        <f>Results!B103</f>
        <v>46221</v>
      </c>
      <c r="C104" s="15">
        <f>Results!C103</f>
        <v>0.8333333333</v>
      </c>
      <c r="D104" t="str">
        <f>Results!E103</f>
        <v>Loser Match 101</v>
      </c>
      <c r="G104" t="str">
        <f>Results!H103</f>
        <v>Loser Match 102</v>
      </c>
      <c r="H104">
        <f t="shared" si="1"/>
        <v>0</v>
      </c>
      <c r="I104">
        <f>if(Results!I103="-",0,IF(OR(AND(H104&gt;0,Results!J103&gt;0),AND(H104&lt;0,Results!J103&lt;0),AND(H104=0,Results!J103=0)),1,0))</f>
        <v>0</v>
      </c>
      <c r="J104">
        <f>IF(K104="-",0,if(K104=Results!I103,3,0))</f>
        <v>0</v>
      </c>
      <c r="K104" t="str">
        <f t="shared" si="2"/>
        <v>-</v>
      </c>
      <c r="L104">
        <f t="shared" si="3"/>
        <v>0</v>
      </c>
    </row>
    <row r="105">
      <c r="A105">
        <f>Results!A104</f>
        <v>1</v>
      </c>
      <c r="B105" s="14">
        <f>Results!B104</f>
        <v>46222</v>
      </c>
      <c r="C105" s="15">
        <f>Results!C104</f>
        <v>0.8333333333</v>
      </c>
      <c r="D105" t="str">
        <f>Results!E104</f>
        <v>Winner Match 101</v>
      </c>
      <c r="G105" t="str">
        <f>Results!H104</f>
        <v>Winner Match 102</v>
      </c>
      <c r="H105">
        <f t="shared" si="1"/>
        <v>0</v>
      </c>
      <c r="I105">
        <f>if(Results!I104="-",0,IF(OR(AND(H105&gt;0,Results!J104&gt;0),AND(H105&lt;0,Results!J104&lt;0),AND(H105=0,Results!J104=0)),1,0))</f>
        <v>0</v>
      </c>
      <c r="J105">
        <f>IF(K105="-",0,if(K105=Results!I104,3,0))</f>
        <v>0</v>
      </c>
      <c r="K105" t="str">
        <f t="shared" si="2"/>
        <v>-</v>
      </c>
      <c r="L105">
        <f t="shared" si="3"/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>
        <f>Results!A1</f>
        <v>5</v>
      </c>
      <c r="B2" s="14">
        <f>Results!B1</f>
        <v>46184</v>
      </c>
      <c r="C2" s="15">
        <f>Results!C1</f>
        <v>0.8333333333</v>
      </c>
      <c r="D2" t="str">
        <f>Results!E1</f>
        <v>Mexico</v>
      </c>
      <c r="E2" s="9">
        <v>2.0</v>
      </c>
      <c r="F2" s="9">
        <v>0.0</v>
      </c>
      <c r="G2" t="str">
        <f>Results!H1</f>
        <v>South Africa</v>
      </c>
      <c r="H2">
        <f t="shared" ref="H2:H105" si="1">E2-F2</f>
        <v>2</v>
      </c>
      <c r="I2">
        <f>if(Results!I1="-",0,IF(OR(AND(H2&gt;0,Results!J1&gt;0),AND(H2&lt;0,Results!J1&lt;0),AND(H2=0,Results!J1=0)),1,0))</f>
        <v>1</v>
      </c>
      <c r="J2">
        <f>IF(K2="-",0,if(K2=Results!I1,3,0))</f>
        <v>3</v>
      </c>
      <c r="K2" t="str">
        <f t="shared" ref="K2:K105" si="2">E2&amp;"-"&amp;F2</f>
        <v>2-0</v>
      </c>
      <c r="L2">
        <f t="shared" ref="L2:L105" si="3">MAX(I2,J2)</f>
        <v>3</v>
      </c>
    </row>
    <row r="3">
      <c r="A3">
        <f>Results!A2</f>
        <v>6</v>
      </c>
      <c r="B3" s="14">
        <f>Results!B2</f>
        <v>46185</v>
      </c>
      <c r="C3" s="15">
        <f>Results!C2</f>
        <v>0.125</v>
      </c>
      <c r="D3" t="str">
        <f>Results!E2</f>
        <v>South Korea</v>
      </c>
      <c r="E3" s="9">
        <v>1.0</v>
      </c>
      <c r="F3" s="9">
        <v>1.0</v>
      </c>
      <c r="G3" t="str">
        <f>Results!H2</f>
        <v>Czech Republic</v>
      </c>
      <c r="H3">
        <f t="shared" si="1"/>
        <v>0</v>
      </c>
      <c r="I3">
        <f>if(Results!I2="-",0,IF(OR(AND(H3&gt;0,Results!J2&gt;0),AND(H3&lt;0,Results!J2&lt;0),AND(H3=0,Results!J2=0)),1,0))</f>
        <v>0</v>
      </c>
      <c r="J3">
        <f>IF(K3="-",0,if(K3=Results!I2,3,0))</f>
        <v>0</v>
      </c>
      <c r="K3" t="str">
        <f t="shared" si="2"/>
        <v>1-1</v>
      </c>
      <c r="L3">
        <f t="shared" si="3"/>
        <v>0</v>
      </c>
    </row>
    <row r="4">
      <c r="A4">
        <f>Results!A3</f>
        <v>6</v>
      </c>
      <c r="B4" s="14">
        <f>Results!B3</f>
        <v>46185</v>
      </c>
      <c r="C4" s="15">
        <f>Results!C3</f>
        <v>0.8333333333</v>
      </c>
      <c r="D4" t="str">
        <f>Results!E3</f>
        <v>Canada</v>
      </c>
      <c r="E4" s="9">
        <v>1.0</v>
      </c>
      <c r="F4" s="9">
        <v>1.0</v>
      </c>
      <c r="G4" t="str">
        <f>Results!H3</f>
        <v>Bosnia and Herzegovina</v>
      </c>
      <c r="H4">
        <f t="shared" si="1"/>
        <v>0</v>
      </c>
      <c r="I4">
        <f>if(Results!I3="-",0,IF(OR(AND(H4&gt;0,Results!J3&gt;0),AND(H4&lt;0,Results!J3&lt;0),AND(H4=0,Results!J3=0)),1,0))</f>
        <v>1</v>
      </c>
      <c r="J4">
        <f>IF(K4="-",0,if(K4=Results!I3,3,0))</f>
        <v>3</v>
      </c>
      <c r="K4" t="str">
        <f t="shared" si="2"/>
        <v>1-1</v>
      </c>
      <c r="L4">
        <f t="shared" si="3"/>
        <v>3</v>
      </c>
    </row>
    <row r="5">
      <c r="A5">
        <f>Results!A4</f>
        <v>7</v>
      </c>
      <c r="B5" s="14">
        <f>Results!B4</f>
        <v>46186</v>
      </c>
      <c r="C5" s="15">
        <f>Results!C4</f>
        <v>0.08333333333</v>
      </c>
      <c r="D5" t="str">
        <f>Results!E4</f>
        <v>USA</v>
      </c>
      <c r="E5" s="9">
        <v>1.0</v>
      </c>
      <c r="F5" s="9">
        <v>1.0</v>
      </c>
      <c r="G5" t="str">
        <f>Results!H4</f>
        <v>Paraguay</v>
      </c>
      <c r="H5">
        <f t="shared" si="1"/>
        <v>0</v>
      </c>
      <c r="I5">
        <f>if(Results!I4="-",0,IF(OR(AND(H5&gt;0,Results!J4&gt;0),AND(H5&lt;0,Results!J4&lt;0),AND(H5=0,Results!J4=0)),1,0))</f>
        <v>0</v>
      </c>
      <c r="J5">
        <f>IF(K5="-",0,if(K5=Results!I4,3,0))</f>
        <v>0</v>
      </c>
      <c r="K5" t="str">
        <f t="shared" si="2"/>
        <v>1-1</v>
      </c>
      <c r="L5">
        <f t="shared" si="3"/>
        <v>0</v>
      </c>
    </row>
    <row r="6">
      <c r="A6">
        <f>Results!A5</f>
        <v>7</v>
      </c>
      <c r="B6" s="14">
        <f>Results!B5</f>
        <v>46186</v>
      </c>
      <c r="C6" s="15">
        <f>Results!C5</f>
        <v>0.8333333333</v>
      </c>
      <c r="D6" t="str">
        <f>Results!E5</f>
        <v>Qatar</v>
      </c>
      <c r="E6" s="9">
        <v>0.0</v>
      </c>
      <c r="F6" s="9">
        <v>2.0</v>
      </c>
      <c r="G6" t="str">
        <f>Results!H5</f>
        <v>Switzerland</v>
      </c>
      <c r="H6">
        <f t="shared" si="1"/>
        <v>-2</v>
      </c>
      <c r="I6">
        <f>if(Results!I5="-",0,IF(OR(AND(H6&gt;0,Results!J5&gt;0),AND(H6&lt;0,Results!J5&lt;0),AND(H6=0,Results!J5=0)),1,0))</f>
        <v>0</v>
      </c>
      <c r="J6">
        <f>IF(K6="-",0,if(K6=Results!I5,3,0))</f>
        <v>0</v>
      </c>
      <c r="K6" t="str">
        <f t="shared" si="2"/>
        <v>0-2</v>
      </c>
      <c r="L6">
        <f t="shared" si="3"/>
        <v>0</v>
      </c>
    </row>
    <row r="7">
      <c r="A7">
        <f>Results!A6</f>
        <v>7</v>
      </c>
      <c r="B7" s="14">
        <f>Results!B6</f>
        <v>46186</v>
      </c>
      <c r="C7" s="15">
        <f>Results!C6</f>
        <v>0.9583333333</v>
      </c>
      <c r="D7" t="str">
        <f>Results!E6</f>
        <v>Brazil</v>
      </c>
      <c r="E7" s="9">
        <v>2.0</v>
      </c>
      <c r="F7" s="9">
        <v>1.0</v>
      </c>
      <c r="G7" t="str">
        <f>Results!H6</f>
        <v>Morocco</v>
      </c>
      <c r="H7">
        <f t="shared" si="1"/>
        <v>1</v>
      </c>
      <c r="I7">
        <f>if(Results!I6="-",0,IF(OR(AND(H7&gt;0,Results!J6&gt;0),AND(H7&lt;0,Results!J6&lt;0),AND(H7=0,Results!J6=0)),1,0))</f>
        <v>0</v>
      </c>
      <c r="J7">
        <f>IF(K7="-",0,if(K7=Results!I6,3,0))</f>
        <v>0</v>
      </c>
      <c r="K7" t="str">
        <f t="shared" si="2"/>
        <v>2-1</v>
      </c>
      <c r="L7">
        <f t="shared" si="3"/>
        <v>0</v>
      </c>
    </row>
    <row r="8">
      <c r="A8">
        <f>Results!A7</f>
        <v>1</v>
      </c>
      <c r="B8" s="14">
        <f>Results!B7</f>
        <v>46187</v>
      </c>
      <c r="C8" s="15">
        <f>Results!C7</f>
        <v>0.08333333333</v>
      </c>
      <c r="D8" t="str">
        <f>Results!E7</f>
        <v>Haiti</v>
      </c>
      <c r="E8" s="9">
        <v>0.0</v>
      </c>
      <c r="F8" s="9">
        <v>2.0</v>
      </c>
      <c r="G8" t="str">
        <f>Results!H7</f>
        <v>Scotland</v>
      </c>
      <c r="H8">
        <f t="shared" si="1"/>
        <v>-2</v>
      </c>
      <c r="I8">
        <f>if(Results!I7="-",0,IF(OR(AND(H8&gt;0,Results!J7&gt;0),AND(H8&lt;0,Results!J7&lt;0),AND(H8=0,Results!J7=0)),1,0))</f>
        <v>1</v>
      </c>
      <c r="J8">
        <f>IF(K8="-",0,if(K8=Results!I7,3,0))</f>
        <v>0</v>
      </c>
      <c r="K8" t="str">
        <f t="shared" si="2"/>
        <v>0-2</v>
      </c>
      <c r="L8">
        <f t="shared" si="3"/>
        <v>1</v>
      </c>
    </row>
    <row r="9">
      <c r="A9">
        <f>Results!A8</f>
        <v>1</v>
      </c>
      <c r="B9" s="14">
        <f>Results!B8</f>
        <v>46187</v>
      </c>
      <c r="C9" s="15">
        <f>Results!C8</f>
        <v>0.2083333333</v>
      </c>
      <c r="D9" t="str">
        <f>Results!E8</f>
        <v>Australia</v>
      </c>
      <c r="E9" s="9">
        <v>1.0</v>
      </c>
      <c r="F9" s="9">
        <v>2.0</v>
      </c>
      <c r="G9" t="str">
        <f>Results!H8</f>
        <v>Türkiye</v>
      </c>
      <c r="H9">
        <f t="shared" si="1"/>
        <v>-1</v>
      </c>
      <c r="I9">
        <f>if(Results!I8="-",0,IF(OR(AND(H9&gt;0,Results!J8&gt;0),AND(H9&lt;0,Results!J8&lt;0),AND(H9=0,Results!J8=0)),1,0))</f>
        <v>0</v>
      </c>
      <c r="J9">
        <f>IF(K9="-",0,if(K9=Results!I8,3,0))</f>
        <v>0</v>
      </c>
      <c r="K9" t="str">
        <f t="shared" si="2"/>
        <v>1-2</v>
      </c>
      <c r="L9">
        <f t="shared" si="3"/>
        <v>0</v>
      </c>
    </row>
    <row r="10">
      <c r="A10">
        <f>Results!A9</f>
        <v>1</v>
      </c>
      <c r="B10" s="14">
        <f>Results!B9</f>
        <v>46187</v>
      </c>
      <c r="C10" s="15">
        <f>Results!C9</f>
        <v>0.75</v>
      </c>
      <c r="D10" t="str">
        <f>Results!E9</f>
        <v>Germany</v>
      </c>
      <c r="E10" s="9">
        <v>3.0</v>
      </c>
      <c r="F10" s="9">
        <v>0.0</v>
      </c>
      <c r="G10" t="str">
        <f>Results!H9</f>
        <v>Curaçao</v>
      </c>
      <c r="H10">
        <f t="shared" si="1"/>
        <v>3</v>
      </c>
      <c r="I10">
        <f>if(Results!I9="-",0,IF(OR(AND(H10&gt;0,Results!J9&gt;0),AND(H10&lt;0,Results!J9&lt;0),AND(H10=0,Results!J9=0)),1,0))</f>
        <v>1</v>
      </c>
      <c r="J10">
        <f>IF(K10="-",0,if(K10=Results!I9,3,0))</f>
        <v>0</v>
      </c>
      <c r="K10" t="str">
        <f t="shared" si="2"/>
        <v>3-0</v>
      </c>
      <c r="L10">
        <f t="shared" si="3"/>
        <v>1</v>
      </c>
    </row>
    <row r="11">
      <c r="A11">
        <f>Results!A10</f>
        <v>1</v>
      </c>
      <c r="B11" s="14">
        <f>Results!B10</f>
        <v>46187</v>
      </c>
      <c r="C11" s="15">
        <f>Results!C10</f>
        <v>0.875</v>
      </c>
      <c r="D11" t="str">
        <f>Results!E10</f>
        <v>Netherlands</v>
      </c>
      <c r="E11" s="9">
        <v>2.0</v>
      </c>
      <c r="F11" s="9">
        <v>0.0</v>
      </c>
      <c r="G11" t="str">
        <f>Results!H10</f>
        <v>Japan</v>
      </c>
      <c r="H11">
        <f t="shared" si="1"/>
        <v>2</v>
      </c>
      <c r="I11">
        <f>if(Results!I10="-",0,IF(OR(AND(H11&gt;0,Results!J10&gt;0),AND(H11&lt;0,Results!J10&lt;0),AND(H11=0,Results!J10=0)),1,0))</f>
        <v>0</v>
      </c>
      <c r="J11">
        <f>IF(K11="-",0,if(K11=Results!I10,3,0))</f>
        <v>0</v>
      </c>
      <c r="K11" t="str">
        <f t="shared" si="2"/>
        <v>2-0</v>
      </c>
      <c r="L11">
        <f t="shared" si="3"/>
        <v>0</v>
      </c>
    </row>
    <row r="12">
      <c r="A12">
        <f>Results!A11</f>
        <v>2</v>
      </c>
      <c r="B12" s="14">
        <f>Results!B11</f>
        <v>46188</v>
      </c>
      <c r="C12" s="15">
        <f>Results!C11</f>
        <v>0</v>
      </c>
      <c r="D12" t="str">
        <f>Results!E11</f>
        <v>Ivory Coast</v>
      </c>
      <c r="E12" s="9">
        <v>1.0</v>
      </c>
      <c r="F12" s="9">
        <v>1.0</v>
      </c>
      <c r="G12" t="str">
        <f>Results!H11</f>
        <v>Ecuador</v>
      </c>
      <c r="H12">
        <f t="shared" si="1"/>
        <v>0</v>
      </c>
      <c r="I12">
        <f>if(Results!I11="-",0,IF(OR(AND(H12&gt;0,Results!J11&gt;0),AND(H12&lt;0,Results!J11&lt;0),AND(H12=0,Results!J11=0)),1,0))</f>
        <v>0</v>
      </c>
      <c r="J12">
        <f>IF(K12="-",0,if(K12=Results!I11,3,0))</f>
        <v>0</v>
      </c>
      <c r="K12" t="str">
        <f t="shared" si="2"/>
        <v>1-1</v>
      </c>
      <c r="L12">
        <f t="shared" si="3"/>
        <v>0</v>
      </c>
    </row>
    <row r="13">
      <c r="A13">
        <f>Results!A12</f>
        <v>2</v>
      </c>
      <c r="B13" s="14">
        <f>Results!B12</f>
        <v>46188</v>
      </c>
      <c r="C13" s="15">
        <f>Results!C12</f>
        <v>0.125</v>
      </c>
      <c r="D13" t="str">
        <f>Results!E12</f>
        <v>Sweden</v>
      </c>
      <c r="E13" s="9">
        <v>1.0</v>
      </c>
      <c r="F13" s="9">
        <v>1.0</v>
      </c>
      <c r="G13" t="str">
        <f>Results!H12</f>
        <v>Tunisia</v>
      </c>
      <c r="H13">
        <f t="shared" si="1"/>
        <v>0</v>
      </c>
      <c r="I13">
        <f>if(Results!I12="-",0,IF(OR(AND(H13&gt;0,Results!J12&gt;0),AND(H13&lt;0,Results!J12&lt;0),AND(H13=0,Results!J12=0)),1,0))</f>
        <v>0</v>
      </c>
      <c r="J13">
        <f>IF(K13="-",0,if(K13=Results!I12,3,0))</f>
        <v>0</v>
      </c>
      <c r="K13" t="str">
        <f t="shared" si="2"/>
        <v>1-1</v>
      </c>
      <c r="L13">
        <f t="shared" si="3"/>
        <v>0</v>
      </c>
    </row>
    <row r="14">
      <c r="A14">
        <f>Results!A13</f>
        <v>2</v>
      </c>
      <c r="B14" s="14">
        <f>Results!B13</f>
        <v>46188</v>
      </c>
      <c r="C14" s="15">
        <f>Results!C13</f>
        <v>0.7083333333</v>
      </c>
      <c r="D14" t="str">
        <f>Results!E13</f>
        <v>Spain</v>
      </c>
      <c r="E14" s="9">
        <v>3.0</v>
      </c>
      <c r="F14" s="9">
        <v>0.0</v>
      </c>
      <c r="G14" t="str">
        <f>Results!H13</f>
        <v>Cape Verde</v>
      </c>
      <c r="H14">
        <f t="shared" si="1"/>
        <v>3</v>
      </c>
      <c r="I14">
        <f>if(Results!I13="-",0,IF(OR(AND(H14&gt;0,Results!J13&gt;0),AND(H14&lt;0,Results!J13&lt;0),AND(H14=0,Results!J13=0)),1,0))</f>
        <v>0</v>
      </c>
      <c r="J14">
        <f>IF(K14="-",0,if(K14=Results!I13,3,0))</f>
        <v>0</v>
      </c>
      <c r="K14" t="str">
        <f t="shared" si="2"/>
        <v>3-0</v>
      </c>
      <c r="L14">
        <f t="shared" si="3"/>
        <v>0</v>
      </c>
    </row>
    <row r="15">
      <c r="A15">
        <f>Results!A14</f>
        <v>2</v>
      </c>
      <c r="B15" s="14">
        <f>Results!B14</f>
        <v>46188</v>
      </c>
      <c r="C15" s="15">
        <f>Results!C14</f>
        <v>0.8333333333</v>
      </c>
      <c r="D15" t="str">
        <f>Results!E14</f>
        <v>Belgium</v>
      </c>
      <c r="E15" s="9">
        <v>2.0</v>
      </c>
      <c r="F15" s="9">
        <v>1.0</v>
      </c>
      <c r="G15" t="str">
        <f>Results!H14</f>
        <v>Egypt</v>
      </c>
      <c r="H15">
        <f t="shared" si="1"/>
        <v>1</v>
      </c>
      <c r="I15">
        <f>if(Results!I14="-",0,IF(OR(AND(H15&gt;0,Results!J14&gt;0),AND(H15&lt;0,Results!J14&lt;0),AND(H15=0,Results!J14=0)),1,0))</f>
        <v>0</v>
      </c>
      <c r="J15">
        <f>IF(K15="-",0,if(K15=Results!I14,3,0))</f>
        <v>0</v>
      </c>
      <c r="K15" t="str">
        <f t="shared" si="2"/>
        <v>2-1</v>
      </c>
      <c r="L15">
        <f t="shared" si="3"/>
        <v>0</v>
      </c>
    </row>
    <row r="16">
      <c r="A16">
        <f>Results!A15</f>
        <v>2</v>
      </c>
      <c r="B16" s="14">
        <f>Results!B15</f>
        <v>46188</v>
      </c>
      <c r="C16" s="15">
        <f>Results!C15</f>
        <v>0.9583333333</v>
      </c>
      <c r="D16" t="str">
        <f>Results!E15</f>
        <v>Saudi Arabia</v>
      </c>
      <c r="E16" s="9">
        <v>0.0</v>
      </c>
      <c r="F16" s="9">
        <v>2.0</v>
      </c>
      <c r="G16" t="str">
        <f>Results!H15</f>
        <v>Uruguay</v>
      </c>
      <c r="H16">
        <f t="shared" si="1"/>
        <v>-2</v>
      </c>
      <c r="I16">
        <f>if(Results!I15="-",0,IF(OR(AND(H16&gt;0,Results!J15&gt;0),AND(H16&lt;0,Results!J15&lt;0),AND(H16=0,Results!J15=0)),1,0))</f>
        <v>0</v>
      </c>
      <c r="J16">
        <f>IF(K16="-",0,if(K16=Results!I15,3,0))</f>
        <v>0</v>
      </c>
      <c r="K16" t="str">
        <f t="shared" si="2"/>
        <v>0-2</v>
      </c>
      <c r="L16">
        <f t="shared" si="3"/>
        <v>0</v>
      </c>
    </row>
    <row r="17">
      <c r="A17">
        <f>Results!A16</f>
        <v>3</v>
      </c>
      <c r="B17" s="14">
        <f>Results!B16</f>
        <v>46189</v>
      </c>
      <c r="C17" s="15">
        <f>Results!C16</f>
        <v>0.08333333333</v>
      </c>
      <c r="D17" t="str">
        <f>Results!E16</f>
        <v>Iran</v>
      </c>
      <c r="E17" s="9">
        <v>2.0</v>
      </c>
      <c r="F17" s="9">
        <v>0.0</v>
      </c>
      <c r="G17" t="str">
        <f>Results!H16</f>
        <v>New Zealand</v>
      </c>
      <c r="H17">
        <f t="shared" si="1"/>
        <v>2</v>
      </c>
      <c r="I17">
        <f>if(Results!I16="-",0,IF(OR(AND(H17&gt;0,Results!J16&gt;0),AND(H17&lt;0,Results!J16&lt;0),AND(H17=0,Results!J16=0)),1,0))</f>
        <v>0</v>
      </c>
      <c r="J17">
        <f>IF(K17="-",0,if(K17=Results!I16,3,0))</f>
        <v>0</v>
      </c>
      <c r="K17" t="str">
        <f t="shared" si="2"/>
        <v>2-0</v>
      </c>
      <c r="L17">
        <f t="shared" si="3"/>
        <v>0</v>
      </c>
    </row>
    <row r="18">
      <c r="A18">
        <f>Results!A17</f>
        <v>3</v>
      </c>
      <c r="B18" s="14">
        <f>Results!B17</f>
        <v>46189</v>
      </c>
      <c r="C18" s="15">
        <f>Results!C17</f>
        <v>0.8333333333</v>
      </c>
      <c r="D18" t="str">
        <f>Results!E17</f>
        <v>France</v>
      </c>
      <c r="E18" s="9">
        <v>2.0</v>
      </c>
      <c r="F18" s="9">
        <v>1.0</v>
      </c>
      <c r="G18" t="str">
        <f>Results!H17</f>
        <v>Senegal</v>
      </c>
      <c r="H18">
        <f t="shared" si="1"/>
        <v>1</v>
      </c>
      <c r="I18">
        <f>if(Results!I17="-",0,IF(OR(AND(H18&gt;0,Results!J17&gt;0),AND(H18&lt;0,Results!J17&lt;0),AND(H18=0,Results!J17=0)),1,0))</f>
        <v>1</v>
      </c>
      <c r="J18">
        <f>IF(K18="-",0,if(K18=Results!I17,3,0))</f>
        <v>0</v>
      </c>
      <c r="K18" t="str">
        <f t="shared" si="2"/>
        <v>2-1</v>
      </c>
      <c r="L18">
        <f t="shared" si="3"/>
        <v>1</v>
      </c>
    </row>
    <row r="19">
      <c r="A19">
        <f>Results!A18</f>
        <v>3</v>
      </c>
      <c r="B19" s="14">
        <f>Results!B18</f>
        <v>46189</v>
      </c>
      <c r="C19" s="15">
        <f>Results!C18</f>
        <v>0.9583333333</v>
      </c>
      <c r="D19" t="str">
        <f>Results!E18</f>
        <v>Iraq</v>
      </c>
      <c r="E19" s="9">
        <v>0.0</v>
      </c>
      <c r="F19" s="9">
        <v>2.0</v>
      </c>
      <c r="G19" t="str">
        <f>Results!H18</f>
        <v>Norway</v>
      </c>
      <c r="H19">
        <f t="shared" si="1"/>
        <v>-2</v>
      </c>
      <c r="I19">
        <f>if(Results!I18="-",0,IF(OR(AND(H19&gt;0,Results!J18&gt;0),AND(H19&lt;0,Results!J18&lt;0),AND(H19=0,Results!J18=0)),1,0))</f>
        <v>1</v>
      </c>
      <c r="J19">
        <f>IF(K19="-",0,if(K19=Results!I18,3,0))</f>
        <v>0</v>
      </c>
      <c r="K19" t="str">
        <f t="shared" si="2"/>
        <v>0-2</v>
      </c>
      <c r="L19">
        <f t="shared" si="3"/>
        <v>1</v>
      </c>
    </row>
    <row r="20">
      <c r="A20">
        <f>Results!A19</f>
        <v>4</v>
      </c>
      <c r="B20" s="14">
        <f>Results!B19</f>
        <v>46190</v>
      </c>
      <c r="C20" s="15">
        <f>Results!C19</f>
        <v>0.08333333333</v>
      </c>
      <c r="D20" t="str">
        <f>Results!E19</f>
        <v>Argentina</v>
      </c>
      <c r="E20" s="9">
        <v>2.0</v>
      </c>
      <c r="F20" s="9">
        <v>0.0</v>
      </c>
      <c r="G20" t="str">
        <f>Results!H19</f>
        <v>Algeria</v>
      </c>
      <c r="H20">
        <f t="shared" si="1"/>
        <v>2</v>
      </c>
      <c r="I20">
        <f>if(Results!I19="-",0,IF(OR(AND(H20&gt;0,Results!J19&gt;0),AND(H20&lt;0,Results!J19&lt;0),AND(H20=0,Results!J19=0)),1,0))</f>
        <v>1</v>
      </c>
      <c r="J20">
        <f>IF(K20="-",0,if(K20=Results!I19,3,0))</f>
        <v>0</v>
      </c>
      <c r="K20" t="str">
        <f t="shared" si="2"/>
        <v>2-0</v>
      </c>
      <c r="L20">
        <f t="shared" si="3"/>
        <v>1</v>
      </c>
    </row>
    <row r="21">
      <c r="A21">
        <f>Results!A20</f>
        <v>4</v>
      </c>
      <c r="B21" s="14">
        <f>Results!B20</f>
        <v>46190</v>
      </c>
      <c r="C21" s="15">
        <f>Results!C20</f>
        <v>0.2083333333</v>
      </c>
      <c r="D21" t="str">
        <f>Results!E20</f>
        <v>Austria</v>
      </c>
      <c r="E21" s="9">
        <v>2.0</v>
      </c>
      <c r="F21" s="9">
        <v>0.0</v>
      </c>
      <c r="G21" t="str">
        <f>Results!H20</f>
        <v>Jordan</v>
      </c>
      <c r="H21">
        <f t="shared" si="1"/>
        <v>2</v>
      </c>
      <c r="I21">
        <f>if(Results!I20="-",0,IF(OR(AND(H21&gt;0,Results!J20&gt;0),AND(H21&lt;0,Results!J20&lt;0),AND(H21=0,Results!J20=0)),1,0))</f>
        <v>1</v>
      </c>
      <c r="J21">
        <f>IF(K21="-",0,if(K21=Results!I20,3,0))</f>
        <v>0</v>
      </c>
      <c r="K21" t="str">
        <f t="shared" si="2"/>
        <v>2-0</v>
      </c>
      <c r="L21">
        <f t="shared" si="3"/>
        <v>1</v>
      </c>
    </row>
    <row r="22">
      <c r="A22">
        <f>Results!A21</f>
        <v>4</v>
      </c>
      <c r="B22" s="14">
        <f>Results!B21</f>
        <v>46190</v>
      </c>
      <c r="C22" s="15">
        <f>Results!C21</f>
        <v>0.75</v>
      </c>
      <c r="D22" t="str">
        <f>Results!E21</f>
        <v>Portugal</v>
      </c>
      <c r="E22" s="9">
        <v>3.0</v>
      </c>
      <c r="F22" s="9">
        <v>0.0</v>
      </c>
      <c r="G22" t="str">
        <f>Results!H21</f>
        <v>Congo DR</v>
      </c>
      <c r="H22">
        <f t="shared" si="1"/>
        <v>3</v>
      </c>
      <c r="I22">
        <f>if(Results!I21="-",0,IF(OR(AND(H22&gt;0,Results!J21&gt;0),AND(H22&lt;0,Results!J21&lt;0),AND(H22=0,Results!J21=0)),1,0))</f>
        <v>0</v>
      </c>
      <c r="J22">
        <f>IF(K22="-",0,if(K22=Results!I21,3,0))</f>
        <v>0</v>
      </c>
      <c r="K22" t="str">
        <f t="shared" si="2"/>
        <v>3-0</v>
      </c>
      <c r="L22">
        <f t="shared" si="3"/>
        <v>0</v>
      </c>
    </row>
    <row r="23">
      <c r="A23">
        <f>Results!A22</f>
        <v>4</v>
      </c>
      <c r="B23" s="14">
        <f>Results!B22</f>
        <v>46190</v>
      </c>
      <c r="C23" s="15">
        <f>Results!C22</f>
        <v>0.875</v>
      </c>
      <c r="D23" t="str">
        <f>Results!E22</f>
        <v>England</v>
      </c>
      <c r="E23" s="9">
        <v>1.0</v>
      </c>
      <c r="F23" s="9">
        <v>1.0</v>
      </c>
      <c r="G23" t="str">
        <f>Results!H22</f>
        <v>Croatia</v>
      </c>
      <c r="H23">
        <f t="shared" si="1"/>
        <v>0</v>
      </c>
      <c r="I23">
        <f>if(Results!I22="-",0,IF(OR(AND(H23&gt;0,Results!J22&gt;0),AND(H23&lt;0,Results!J22&lt;0),AND(H23=0,Results!J22=0)),1,0))</f>
        <v>0</v>
      </c>
      <c r="J23">
        <f>IF(K23="-",0,if(K23=Results!I22,3,0))</f>
        <v>0</v>
      </c>
      <c r="K23" t="str">
        <f t="shared" si="2"/>
        <v>1-1</v>
      </c>
      <c r="L23">
        <f t="shared" si="3"/>
        <v>0</v>
      </c>
    </row>
    <row r="24">
      <c r="A24">
        <f>Results!A23</f>
        <v>5</v>
      </c>
      <c r="B24" s="14">
        <f>Results!B23</f>
        <v>46191</v>
      </c>
      <c r="C24" s="15">
        <f>Results!C23</f>
        <v>0</v>
      </c>
      <c r="D24" t="str">
        <f>Results!E23</f>
        <v>Ghana</v>
      </c>
      <c r="E24" s="9">
        <v>2.0</v>
      </c>
      <c r="F24" s="9">
        <v>1.0</v>
      </c>
      <c r="G24" t="str">
        <f>Results!H23</f>
        <v>Panama</v>
      </c>
      <c r="H24">
        <f t="shared" si="1"/>
        <v>1</v>
      </c>
      <c r="I24">
        <f>if(Results!I23="-",0,IF(OR(AND(H24&gt;0,Results!J23&gt;0),AND(H24&lt;0,Results!J23&lt;0),AND(H24=0,Results!J23=0)),1,0))</f>
        <v>1</v>
      </c>
      <c r="J24">
        <f>IF(K24="-",0,if(K24=Results!I23,3,0))</f>
        <v>0</v>
      </c>
      <c r="K24" t="str">
        <f t="shared" si="2"/>
        <v>2-1</v>
      </c>
      <c r="L24">
        <f t="shared" si="3"/>
        <v>1</v>
      </c>
    </row>
    <row r="25">
      <c r="A25">
        <f>Results!A24</f>
        <v>5</v>
      </c>
      <c r="B25" s="14">
        <f>Results!B24</f>
        <v>46191</v>
      </c>
      <c r="C25" s="15">
        <f>Results!C24</f>
        <v>0.125</v>
      </c>
      <c r="D25" t="str">
        <f>Results!E24</f>
        <v>Uzbekistan</v>
      </c>
      <c r="E25" s="9">
        <v>1.0</v>
      </c>
      <c r="F25" s="9">
        <v>2.0</v>
      </c>
      <c r="G25" t="str">
        <f>Results!H24</f>
        <v>Colombia</v>
      </c>
      <c r="H25">
        <f t="shared" si="1"/>
        <v>-1</v>
      </c>
      <c r="I25">
        <f>if(Results!I24="-",0,IF(OR(AND(H25&gt;0,Results!J24&gt;0),AND(H25&lt;0,Results!J24&lt;0),AND(H25=0,Results!J24=0)),1,0))</f>
        <v>1</v>
      </c>
      <c r="J25">
        <f>IF(K25="-",0,if(K25=Results!I24,3,0))</f>
        <v>0</v>
      </c>
      <c r="K25" t="str">
        <f t="shared" si="2"/>
        <v>1-2</v>
      </c>
      <c r="L25">
        <f t="shared" si="3"/>
        <v>1</v>
      </c>
    </row>
    <row r="26">
      <c r="A26">
        <f>Results!A25</f>
        <v>5</v>
      </c>
      <c r="B26" s="14">
        <f>Results!B25</f>
        <v>46191</v>
      </c>
      <c r="C26" s="15">
        <f>Results!C25</f>
        <v>0.7083333333</v>
      </c>
      <c r="D26" t="str">
        <f>Results!E25</f>
        <v>Czechia</v>
      </c>
      <c r="E26" s="9">
        <v>1.0</v>
      </c>
      <c r="F26" s="9">
        <v>0.0</v>
      </c>
      <c r="G26" t="str">
        <f>Results!H25</f>
        <v>South Africa</v>
      </c>
      <c r="H26">
        <f t="shared" si="1"/>
        <v>1</v>
      </c>
      <c r="I26">
        <f>if(Results!I25="-",0,IF(OR(AND(H26&gt;0,Results!J25&gt;0),AND(H26&lt;0,Results!J25&lt;0),AND(H26=0,Results!J25=0)),1,0))</f>
        <v>0</v>
      </c>
      <c r="J26">
        <f>IF(K26="-",0,if(K26=Results!I25,3,0))</f>
        <v>0</v>
      </c>
      <c r="K26" t="str">
        <f t="shared" si="2"/>
        <v>1-0</v>
      </c>
      <c r="L26">
        <f t="shared" si="3"/>
        <v>0</v>
      </c>
    </row>
    <row r="27">
      <c r="A27">
        <f>Results!A26</f>
        <v>5</v>
      </c>
      <c r="B27" s="14">
        <f>Results!B26</f>
        <v>46191</v>
      </c>
      <c r="C27" s="15">
        <f>Results!C26</f>
        <v>0.8333333333</v>
      </c>
      <c r="D27" t="str">
        <f>Results!E26</f>
        <v>Switzerland</v>
      </c>
      <c r="E27" s="9">
        <v>2.0</v>
      </c>
      <c r="F27" s="9">
        <v>1.0</v>
      </c>
      <c r="G27" t="str">
        <f>Results!H26</f>
        <v>Bosnia and Herzegovina</v>
      </c>
      <c r="H27">
        <f t="shared" si="1"/>
        <v>1</v>
      </c>
      <c r="I27">
        <f>if(Results!I26="-",0,IF(OR(AND(H27&gt;0,Results!J26&gt;0),AND(H27&lt;0,Results!J26&lt;0),AND(H27=0,Results!J26=0)),1,0))</f>
        <v>1</v>
      </c>
      <c r="J27">
        <f>IF(K27="-",0,if(K27=Results!I26,3,0))</f>
        <v>0</v>
      </c>
      <c r="K27" t="str">
        <f t="shared" si="2"/>
        <v>2-1</v>
      </c>
      <c r="L27">
        <f t="shared" si="3"/>
        <v>1</v>
      </c>
    </row>
    <row r="28">
      <c r="A28">
        <f>Results!A27</f>
        <v>5</v>
      </c>
      <c r="B28" s="14">
        <f>Results!B27</f>
        <v>46191</v>
      </c>
      <c r="C28" s="15">
        <f>Results!C27</f>
        <v>0.9583333333</v>
      </c>
      <c r="D28" t="str">
        <f>Results!E27</f>
        <v>Canada</v>
      </c>
      <c r="E28" s="9">
        <v>2.0</v>
      </c>
      <c r="F28" s="9">
        <v>0.0</v>
      </c>
      <c r="G28" t="str">
        <f>Results!H27</f>
        <v>Qatar</v>
      </c>
      <c r="H28">
        <f t="shared" si="1"/>
        <v>2</v>
      </c>
      <c r="I28">
        <f>if(Results!I27="-",0,IF(OR(AND(H28&gt;0,Results!J27&gt;0),AND(H28&lt;0,Results!J27&lt;0),AND(H28=0,Results!J27=0)),1,0))</f>
        <v>1</v>
      </c>
      <c r="J28">
        <f>IF(K28="-",0,if(K28=Results!I27,3,0))</f>
        <v>0</v>
      </c>
      <c r="K28" t="str">
        <f t="shared" si="2"/>
        <v>2-0</v>
      </c>
      <c r="L28">
        <f t="shared" si="3"/>
        <v>1</v>
      </c>
    </row>
    <row r="29">
      <c r="A29">
        <f>Results!A28</f>
        <v>6</v>
      </c>
      <c r="B29" s="14">
        <f>Results!B28</f>
        <v>46192</v>
      </c>
      <c r="C29" s="15">
        <f>Results!C28</f>
        <v>0.08333333333</v>
      </c>
      <c r="D29" t="str">
        <f>Results!E28</f>
        <v>Mexico</v>
      </c>
      <c r="E29" s="9">
        <v>1.0</v>
      </c>
      <c r="F29" s="9">
        <v>1.0</v>
      </c>
      <c r="G29" t="str">
        <f>Results!H28</f>
        <v>South Korea</v>
      </c>
      <c r="H29">
        <f t="shared" si="1"/>
        <v>0</v>
      </c>
      <c r="I29">
        <f>if(Results!I28="-",0,IF(OR(AND(H29&gt;0,Results!J28&gt;0),AND(H29&lt;0,Results!J28&lt;0),AND(H29=0,Results!J28=0)),1,0))</f>
        <v>0</v>
      </c>
      <c r="J29">
        <f>IF(K29="-",0,if(K29=Results!I28,3,0))</f>
        <v>0</v>
      </c>
      <c r="K29" t="str">
        <f t="shared" si="2"/>
        <v>1-1</v>
      </c>
      <c r="L29">
        <f t="shared" si="3"/>
        <v>0</v>
      </c>
    </row>
    <row r="30">
      <c r="A30">
        <f>Results!A29</f>
        <v>6</v>
      </c>
      <c r="B30" s="14">
        <f>Results!B29</f>
        <v>46192</v>
      </c>
      <c r="C30" s="15">
        <f>Results!C29</f>
        <v>0.8333333333</v>
      </c>
      <c r="D30" t="str">
        <f>Results!E29</f>
        <v>USA</v>
      </c>
      <c r="E30" s="9">
        <v>2.0</v>
      </c>
      <c r="F30" s="9">
        <v>1.0</v>
      </c>
      <c r="G30" t="str">
        <f>Results!H29</f>
        <v>Australia</v>
      </c>
      <c r="H30">
        <f t="shared" si="1"/>
        <v>1</v>
      </c>
      <c r="I30">
        <f>if(Results!I29="-",0,IF(OR(AND(H30&gt;0,Results!J29&gt;0),AND(H30&lt;0,Results!J29&lt;0),AND(H30=0,Results!J29=0)),1,0))</f>
        <v>1</v>
      </c>
      <c r="J30">
        <f>IF(K30="-",0,if(K30=Results!I29,3,0))</f>
        <v>0</v>
      </c>
      <c r="K30" t="str">
        <f t="shared" si="2"/>
        <v>2-1</v>
      </c>
      <c r="L30">
        <f t="shared" si="3"/>
        <v>1</v>
      </c>
    </row>
    <row r="31">
      <c r="A31">
        <f>Results!A30</f>
        <v>6</v>
      </c>
      <c r="B31" s="14">
        <f>Results!B30</f>
        <v>46192</v>
      </c>
      <c r="C31" s="15">
        <f>Results!C30</f>
        <v>0.9583333333</v>
      </c>
      <c r="D31" t="str">
        <f>Results!E30</f>
        <v>Scotland</v>
      </c>
      <c r="E31" s="9">
        <v>1.0</v>
      </c>
      <c r="F31" s="9">
        <v>1.0</v>
      </c>
      <c r="G31" t="str">
        <f>Results!H30</f>
        <v>Morocco</v>
      </c>
      <c r="H31">
        <f t="shared" si="1"/>
        <v>0</v>
      </c>
      <c r="I31">
        <f>if(Results!I30="-",0,IF(OR(AND(H31&gt;0,Results!J30&gt;0),AND(H31&lt;0,Results!J30&lt;0),AND(H31=0,Results!J30=0)),1,0))</f>
        <v>0</v>
      </c>
      <c r="J31">
        <f>IF(K31="-",0,if(K31=Results!I30,3,0))</f>
        <v>0</v>
      </c>
      <c r="K31" t="str">
        <f t="shared" si="2"/>
        <v>1-1</v>
      </c>
      <c r="L31">
        <f t="shared" si="3"/>
        <v>0</v>
      </c>
    </row>
    <row r="32">
      <c r="A32">
        <f>Results!A31</f>
        <v>7</v>
      </c>
      <c r="B32" s="14">
        <f>Results!B31</f>
        <v>46193</v>
      </c>
      <c r="C32" s="15">
        <f>Results!C31</f>
        <v>0.0625</v>
      </c>
      <c r="D32" t="str">
        <f>Results!E31</f>
        <v>Brazil</v>
      </c>
      <c r="E32" s="9">
        <v>3.0</v>
      </c>
      <c r="F32" s="9">
        <v>0.0</v>
      </c>
      <c r="G32" t="str">
        <f>Results!H31</f>
        <v>Haiti</v>
      </c>
      <c r="H32">
        <f t="shared" si="1"/>
        <v>3</v>
      </c>
      <c r="I32">
        <f>if(Results!I31="-",0,IF(OR(AND(H32&gt;0,Results!J31&gt;0),AND(H32&lt;0,Results!J31&lt;0),AND(H32=0,Results!J31=0)),1,0))</f>
        <v>1</v>
      </c>
      <c r="J32">
        <f>IF(K32="-",0,if(K32=Results!I31,3,0))</f>
        <v>3</v>
      </c>
      <c r="K32" t="str">
        <f t="shared" si="2"/>
        <v>3-0</v>
      </c>
      <c r="L32">
        <f t="shared" si="3"/>
        <v>3</v>
      </c>
    </row>
    <row r="33">
      <c r="A33">
        <f>Results!A32</f>
        <v>7</v>
      </c>
      <c r="B33" s="14">
        <f>Results!B32</f>
        <v>46193</v>
      </c>
      <c r="C33" s="15">
        <f>Results!C32</f>
        <v>0.1666666667</v>
      </c>
      <c r="D33" t="str">
        <f>Results!E32</f>
        <v>Turkey</v>
      </c>
      <c r="E33" s="9">
        <v>2.0</v>
      </c>
      <c r="F33" s="9">
        <v>1.0</v>
      </c>
      <c r="G33" t="str">
        <f>Results!H32</f>
        <v>Paraguay</v>
      </c>
      <c r="H33">
        <f t="shared" si="1"/>
        <v>1</v>
      </c>
      <c r="I33">
        <f>if(Results!I32="-",0,IF(OR(AND(H33&gt;0,Results!J32&gt;0),AND(H33&lt;0,Results!J32&lt;0),AND(H33=0,Results!J32=0)),1,0))</f>
        <v>0</v>
      </c>
      <c r="J33">
        <f>IF(K33="-",0,if(K33=Results!I32,3,0))</f>
        <v>0</v>
      </c>
      <c r="K33" t="str">
        <f t="shared" si="2"/>
        <v>2-1</v>
      </c>
      <c r="L33">
        <f t="shared" si="3"/>
        <v>0</v>
      </c>
    </row>
    <row r="34">
      <c r="A34">
        <f>Results!A33</f>
        <v>7</v>
      </c>
      <c r="B34" s="14">
        <f>Results!B33</f>
        <v>46193</v>
      </c>
      <c r="C34" s="15">
        <f>Results!C33</f>
        <v>0.75</v>
      </c>
      <c r="D34" t="str">
        <f>Results!E33</f>
        <v>Netherlands</v>
      </c>
      <c r="E34" s="9">
        <v>2.0</v>
      </c>
      <c r="F34" s="9">
        <v>1.0</v>
      </c>
      <c r="G34" t="str">
        <f>Results!H33</f>
        <v>Sweden</v>
      </c>
      <c r="H34">
        <f t="shared" si="1"/>
        <v>1</v>
      </c>
      <c r="I34">
        <f>if(Results!I33="-",0,IF(OR(AND(H34&gt;0,Results!J33&gt;0),AND(H34&lt;0,Results!J33&lt;0),AND(H34=0,Results!J33=0)),1,0))</f>
        <v>0</v>
      </c>
      <c r="J34">
        <f>IF(K34="-",0,if(K34=Results!I33,3,0))</f>
        <v>0</v>
      </c>
      <c r="K34" t="str">
        <f t="shared" si="2"/>
        <v>2-1</v>
      </c>
      <c r="L34">
        <f t="shared" si="3"/>
        <v>0</v>
      </c>
    </row>
    <row r="35">
      <c r="A35">
        <f>Results!A34</f>
        <v>7</v>
      </c>
      <c r="B35" s="14">
        <f>Results!B34</f>
        <v>46193</v>
      </c>
      <c r="C35" s="15">
        <f>Results!C34</f>
        <v>0.875</v>
      </c>
      <c r="D35" t="str">
        <f>Results!E34</f>
        <v>Germany</v>
      </c>
      <c r="E35" s="9">
        <v>2.0</v>
      </c>
      <c r="F35" s="9">
        <v>1.0</v>
      </c>
      <c r="G35" t="str">
        <f>Results!H34</f>
        <v>Ivory Coast</v>
      </c>
      <c r="H35">
        <f t="shared" si="1"/>
        <v>1</v>
      </c>
      <c r="I35">
        <f>if(Results!I34="-",0,IF(OR(AND(H35&gt;0,Results!J34&gt;0),AND(H35&lt;0,Results!J34&lt;0),AND(H35=0,Results!J34=0)),1,0))</f>
        <v>0</v>
      </c>
      <c r="J35">
        <f>IF(K35="-",0,if(K35=Results!I34,3,0))</f>
        <v>0</v>
      </c>
      <c r="K35" t="str">
        <f t="shared" si="2"/>
        <v>2-1</v>
      </c>
      <c r="L35">
        <f t="shared" si="3"/>
        <v>0</v>
      </c>
    </row>
    <row r="36">
      <c r="A36">
        <f>Results!A35</f>
        <v>1</v>
      </c>
      <c r="B36" s="14">
        <f>Results!B35</f>
        <v>46194</v>
      </c>
      <c r="C36" s="15">
        <f>Results!C35</f>
        <v>0.04166666667</v>
      </c>
      <c r="D36" t="str">
        <f>Results!E35</f>
        <v>Ecuador</v>
      </c>
      <c r="E36" s="9">
        <v>3.0</v>
      </c>
      <c r="F36" s="9">
        <v>0.0</v>
      </c>
      <c r="G36" t="str">
        <f>Results!H35</f>
        <v>Curaçao</v>
      </c>
      <c r="H36">
        <f t="shared" si="1"/>
        <v>3</v>
      </c>
      <c r="I36">
        <f>if(Results!I35="-",0,IF(OR(AND(H36&gt;0,Results!J35&gt;0),AND(H36&lt;0,Results!J35&lt;0),AND(H36=0,Results!J35=0)),1,0))</f>
        <v>0</v>
      </c>
      <c r="J36">
        <f>IF(K36="-",0,if(K36=Results!I35,3,0))</f>
        <v>0</v>
      </c>
      <c r="K36" t="str">
        <f t="shared" si="2"/>
        <v>3-0</v>
      </c>
      <c r="L36">
        <f t="shared" si="3"/>
        <v>0</v>
      </c>
    </row>
    <row r="37">
      <c r="A37">
        <f>Results!A36</f>
        <v>1</v>
      </c>
      <c r="B37" s="14">
        <f>Results!B36</f>
        <v>46194</v>
      </c>
      <c r="C37" s="15">
        <f>Results!C36</f>
        <v>0.2083333333</v>
      </c>
      <c r="D37" t="str">
        <f>Results!E36</f>
        <v>Tunisia</v>
      </c>
      <c r="E37" s="9">
        <v>0.0</v>
      </c>
      <c r="F37" s="9">
        <v>1.0</v>
      </c>
      <c r="G37" t="str">
        <f>Results!H36</f>
        <v>Japan</v>
      </c>
      <c r="H37">
        <f t="shared" si="1"/>
        <v>-1</v>
      </c>
      <c r="I37">
        <f>if(Results!I36="-",0,IF(OR(AND(H37&gt;0,Results!J36&gt;0),AND(H37&lt;0,Results!J36&lt;0),AND(H37=0,Results!J36=0)),1,0))</f>
        <v>0</v>
      </c>
      <c r="J37">
        <f>IF(K37="-",0,if(K37=Results!I36,3,0))</f>
        <v>0</v>
      </c>
      <c r="K37" t="str">
        <f t="shared" si="2"/>
        <v>0-1</v>
      </c>
      <c r="L37">
        <f t="shared" si="3"/>
        <v>0</v>
      </c>
    </row>
    <row r="38">
      <c r="A38">
        <f>Results!A37</f>
        <v>1</v>
      </c>
      <c r="B38" s="14">
        <f>Results!B37</f>
        <v>46194</v>
      </c>
      <c r="C38" s="15">
        <f>Results!C37</f>
        <v>0.7083333333</v>
      </c>
      <c r="D38" t="str">
        <f>Results!E37</f>
        <v>Spain</v>
      </c>
      <c r="G38" t="str">
        <f>Results!H37</f>
        <v>Saudi Arabia</v>
      </c>
      <c r="H38">
        <f t="shared" si="1"/>
        <v>0</v>
      </c>
      <c r="I38">
        <f>if(Results!I37="-",0,IF(OR(AND(H38&gt;0,Results!J37&gt;0),AND(H38&lt;0,Results!J37&lt;0),AND(H38=0,Results!J37=0)),1,0))</f>
        <v>0</v>
      </c>
      <c r="J38">
        <f>IF(K38="-",0,if(K38=Results!I37,3,0))</f>
        <v>0</v>
      </c>
      <c r="K38" t="str">
        <f t="shared" si="2"/>
        <v>-</v>
      </c>
      <c r="L38">
        <f t="shared" si="3"/>
        <v>0</v>
      </c>
    </row>
    <row r="39">
      <c r="A39">
        <f>Results!A38</f>
        <v>1</v>
      </c>
      <c r="B39" s="14">
        <f>Results!B38</f>
        <v>46194</v>
      </c>
      <c r="C39" s="15">
        <f>Results!C38</f>
        <v>0.8333333333</v>
      </c>
      <c r="D39" t="str">
        <f>Results!E38</f>
        <v>Belgium</v>
      </c>
      <c r="G39" t="str">
        <f>Results!H38</f>
        <v>Iran</v>
      </c>
      <c r="H39">
        <f t="shared" si="1"/>
        <v>0</v>
      </c>
      <c r="I39">
        <f>if(Results!I38="-",0,IF(OR(AND(H39&gt;0,Results!J38&gt;0),AND(H39&lt;0,Results!J38&lt;0),AND(H39=0,Results!J38=0)),1,0))</f>
        <v>0</v>
      </c>
      <c r="J39">
        <f>IF(K39="-",0,if(K39=Results!I38,3,0))</f>
        <v>0</v>
      </c>
      <c r="K39" t="str">
        <f t="shared" si="2"/>
        <v>-</v>
      </c>
      <c r="L39">
        <f t="shared" si="3"/>
        <v>0</v>
      </c>
    </row>
    <row r="40">
      <c r="A40">
        <f>Results!A39</f>
        <v>1</v>
      </c>
      <c r="B40" s="14">
        <f>Results!B39</f>
        <v>46194</v>
      </c>
      <c r="C40" s="15">
        <f>Results!C39</f>
        <v>0.9583333333</v>
      </c>
      <c r="D40" t="str">
        <f>Results!E39</f>
        <v>Uruguay</v>
      </c>
      <c r="G40" t="str">
        <f>Results!H39</f>
        <v>Cape Verde</v>
      </c>
      <c r="H40">
        <f t="shared" si="1"/>
        <v>0</v>
      </c>
      <c r="I40">
        <f>if(Results!I39="-",0,IF(OR(AND(H40&gt;0,Results!J39&gt;0),AND(H40&lt;0,Results!J39&lt;0),AND(H40=0,Results!J39=0)),1,0))</f>
        <v>0</v>
      </c>
      <c r="J40">
        <f>IF(K40="-",0,if(K40=Results!I39,3,0))</f>
        <v>0</v>
      </c>
      <c r="K40" t="str">
        <f t="shared" si="2"/>
        <v>-</v>
      </c>
      <c r="L40">
        <f t="shared" si="3"/>
        <v>0</v>
      </c>
    </row>
    <row r="41">
      <c r="A41">
        <f>Results!A40</f>
        <v>2</v>
      </c>
      <c r="B41" s="14">
        <f>Results!B40</f>
        <v>46195</v>
      </c>
      <c r="C41" s="15">
        <f>Results!C40</f>
        <v>0.08333333333</v>
      </c>
      <c r="D41" t="str">
        <f>Results!E40</f>
        <v>New Zealand</v>
      </c>
      <c r="G41" t="str">
        <f>Results!H40</f>
        <v>Egypt</v>
      </c>
      <c r="H41">
        <f t="shared" si="1"/>
        <v>0</v>
      </c>
      <c r="I41">
        <f>if(Results!I40="-",0,IF(OR(AND(H41&gt;0,Results!J40&gt;0),AND(H41&lt;0,Results!J40&lt;0),AND(H41=0,Results!J40=0)),1,0))</f>
        <v>0</v>
      </c>
      <c r="J41">
        <f>IF(K41="-",0,if(K41=Results!I40,3,0))</f>
        <v>0</v>
      </c>
      <c r="K41" t="str">
        <f t="shared" si="2"/>
        <v>-</v>
      </c>
      <c r="L41">
        <f t="shared" si="3"/>
        <v>0</v>
      </c>
    </row>
    <row r="42">
      <c r="A42">
        <f>Results!A41</f>
        <v>2</v>
      </c>
      <c r="B42" s="14">
        <f>Results!B41</f>
        <v>46195</v>
      </c>
      <c r="C42" s="15">
        <f>Results!C41</f>
        <v>0.7916666667</v>
      </c>
      <c r="D42" t="str">
        <f>Results!E41</f>
        <v>Argentina</v>
      </c>
      <c r="G42" t="str">
        <f>Results!H41</f>
        <v>Austria</v>
      </c>
      <c r="H42">
        <f t="shared" si="1"/>
        <v>0</v>
      </c>
      <c r="I42">
        <f>if(Results!I41="-",0,IF(OR(AND(H42&gt;0,Results!J41&gt;0),AND(H42&lt;0,Results!J41&lt;0),AND(H42=0,Results!J41=0)),1,0))</f>
        <v>0</v>
      </c>
      <c r="J42">
        <f>IF(K42="-",0,if(K42=Results!I41,3,0))</f>
        <v>0</v>
      </c>
      <c r="K42" t="str">
        <f t="shared" si="2"/>
        <v>-</v>
      </c>
      <c r="L42">
        <f t="shared" si="3"/>
        <v>0</v>
      </c>
    </row>
    <row r="43">
      <c r="A43">
        <f>Results!A42</f>
        <v>2</v>
      </c>
      <c r="B43" s="14">
        <f>Results!B42</f>
        <v>46195</v>
      </c>
      <c r="C43" s="15">
        <f>Results!C42</f>
        <v>0.9583333333</v>
      </c>
      <c r="D43" t="str">
        <f>Results!E42</f>
        <v>France</v>
      </c>
      <c r="G43" t="str">
        <f>Results!H42</f>
        <v>Iraq</v>
      </c>
      <c r="H43">
        <f t="shared" si="1"/>
        <v>0</v>
      </c>
      <c r="I43">
        <f>if(Results!I42="-",0,IF(OR(AND(H43&gt;0,Results!J42&gt;0),AND(H43&lt;0,Results!J42&lt;0),AND(H43=0,Results!J42=0)),1,0))</f>
        <v>0</v>
      </c>
      <c r="J43">
        <f>IF(K43="-",0,if(K43=Results!I42,3,0))</f>
        <v>0</v>
      </c>
      <c r="K43" t="str">
        <f t="shared" si="2"/>
        <v>-</v>
      </c>
      <c r="L43">
        <f t="shared" si="3"/>
        <v>0</v>
      </c>
    </row>
    <row r="44">
      <c r="A44">
        <f>Results!A43</f>
        <v>3</v>
      </c>
      <c r="B44" s="14">
        <f>Results!B43</f>
        <v>46196</v>
      </c>
      <c r="C44" s="15">
        <f>Results!C43</f>
        <v>0.08333333333</v>
      </c>
      <c r="D44" t="str">
        <f>Results!E43</f>
        <v>Norway</v>
      </c>
      <c r="G44" t="str">
        <f>Results!H43</f>
        <v>Senegal</v>
      </c>
      <c r="H44">
        <f t="shared" si="1"/>
        <v>0</v>
      </c>
      <c r="I44">
        <f>if(Results!I43="-",0,IF(OR(AND(H44&gt;0,Results!J43&gt;0),AND(H44&lt;0,Results!J43&lt;0),AND(H44=0,Results!J43=0)),1,0))</f>
        <v>0</v>
      </c>
      <c r="J44">
        <f>IF(K44="-",0,if(K44=Results!I43,3,0))</f>
        <v>0</v>
      </c>
      <c r="K44" t="str">
        <f t="shared" si="2"/>
        <v>-</v>
      </c>
      <c r="L44">
        <f t="shared" si="3"/>
        <v>0</v>
      </c>
    </row>
    <row r="45">
      <c r="A45">
        <f>Results!A44</f>
        <v>3</v>
      </c>
      <c r="B45" s="14">
        <f>Results!B44</f>
        <v>46196</v>
      </c>
      <c r="C45" s="15">
        <f>Results!C44</f>
        <v>0.2083333333</v>
      </c>
      <c r="D45" t="str">
        <f>Results!E44</f>
        <v>Jordan</v>
      </c>
      <c r="G45" t="str">
        <f>Results!H44</f>
        <v>Algeria</v>
      </c>
      <c r="H45">
        <f t="shared" si="1"/>
        <v>0</v>
      </c>
      <c r="I45">
        <f>if(Results!I44="-",0,IF(OR(AND(H45&gt;0,Results!J44&gt;0),AND(H45&lt;0,Results!J44&lt;0),AND(H45=0,Results!J44=0)),1,0))</f>
        <v>0</v>
      </c>
      <c r="J45">
        <f>IF(K45="-",0,if(K45=Results!I44,3,0))</f>
        <v>0</v>
      </c>
      <c r="K45" t="str">
        <f t="shared" si="2"/>
        <v>-</v>
      </c>
      <c r="L45">
        <f t="shared" si="3"/>
        <v>0</v>
      </c>
    </row>
    <row r="46">
      <c r="A46">
        <f>Results!A45</f>
        <v>3</v>
      </c>
      <c r="B46" s="14">
        <f>Results!B45</f>
        <v>46196</v>
      </c>
      <c r="C46" s="15">
        <f>Results!C45</f>
        <v>0.7916666667</v>
      </c>
      <c r="D46" t="str">
        <f>Results!E45</f>
        <v>Portugal</v>
      </c>
      <c r="G46" t="str">
        <f>Results!H45</f>
        <v>Uzbekistan</v>
      </c>
      <c r="H46">
        <f t="shared" si="1"/>
        <v>0</v>
      </c>
      <c r="I46">
        <f>if(Results!I45="-",0,IF(OR(AND(H46&gt;0,Results!J45&gt;0),AND(H46&lt;0,Results!J45&lt;0),AND(H46=0,Results!J45=0)),1,0))</f>
        <v>0</v>
      </c>
      <c r="J46">
        <f>IF(K46="-",0,if(K46=Results!I45,3,0))</f>
        <v>0</v>
      </c>
      <c r="K46" t="str">
        <f t="shared" si="2"/>
        <v>-</v>
      </c>
      <c r="L46">
        <f t="shared" si="3"/>
        <v>0</v>
      </c>
    </row>
    <row r="47">
      <c r="A47">
        <f>Results!A46</f>
        <v>3</v>
      </c>
      <c r="B47" s="14">
        <f>Results!B46</f>
        <v>46196</v>
      </c>
      <c r="C47" s="15">
        <f>Results!C46</f>
        <v>0.9166666667</v>
      </c>
      <c r="D47" t="str">
        <f>Results!E46</f>
        <v>England</v>
      </c>
      <c r="G47" t="str">
        <f>Results!H46</f>
        <v>Ghana</v>
      </c>
      <c r="H47">
        <f t="shared" si="1"/>
        <v>0</v>
      </c>
      <c r="I47">
        <f>if(Results!I46="-",0,IF(OR(AND(H47&gt;0,Results!J46&gt;0),AND(H47&lt;0,Results!J46&lt;0),AND(H47=0,Results!J46=0)),1,0))</f>
        <v>0</v>
      </c>
      <c r="J47">
        <f>IF(K47="-",0,if(K47=Results!I46,3,0))</f>
        <v>0</v>
      </c>
      <c r="K47" t="str">
        <f t="shared" si="2"/>
        <v>-</v>
      </c>
      <c r="L47">
        <f t="shared" si="3"/>
        <v>0</v>
      </c>
    </row>
    <row r="48">
      <c r="A48">
        <f>Results!A47</f>
        <v>4</v>
      </c>
      <c r="B48" s="14">
        <f>Results!B47</f>
        <v>46197</v>
      </c>
      <c r="C48" s="15">
        <f>Results!C47</f>
        <v>0.04166666667</v>
      </c>
      <c r="D48" t="str">
        <f>Results!E47</f>
        <v>Panama</v>
      </c>
      <c r="G48" t="str">
        <f>Results!H47</f>
        <v>Croatia</v>
      </c>
      <c r="H48">
        <f t="shared" si="1"/>
        <v>0</v>
      </c>
      <c r="I48">
        <f>if(Results!I47="-",0,IF(OR(AND(H48&gt;0,Results!J47&gt;0),AND(H48&lt;0,Results!J47&lt;0),AND(H48=0,Results!J47=0)),1,0))</f>
        <v>0</v>
      </c>
      <c r="J48">
        <f>IF(K48="-",0,if(K48=Results!I47,3,0))</f>
        <v>0</v>
      </c>
      <c r="K48" t="str">
        <f t="shared" si="2"/>
        <v>-</v>
      </c>
      <c r="L48">
        <f t="shared" si="3"/>
        <v>0</v>
      </c>
    </row>
    <row r="49">
      <c r="A49">
        <f>Results!A48</f>
        <v>4</v>
      </c>
      <c r="B49" s="14">
        <f>Results!B48</f>
        <v>46197</v>
      </c>
      <c r="C49" s="15">
        <f>Results!C48</f>
        <v>0.1666666667</v>
      </c>
      <c r="D49" t="str">
        <f>Results!E48</f>
        <v>Colombia</v>
      </c>
      <c r="G49" t="str">
        <f>Results!H48</f>
        <v>DR Congo</v>
      </c>
      <c r="H49">
        <f t="shared" si="1"/>
        <v>0</v>
      </c>
      <c r="I49">
        <f>if(Results!I48="-",0,IF(OR(AND(H49&gt;0,Results!J48&gt;0),AND(H49&lt;0,Results!J48&lt;0),AND(H49=0,Results!J48=0)),1,0))</f>
        <v>0</v>
      </c>
      <c r="J49">
        <f>IF(K49="-",0,if(K49=Results!I48,3,0))</f>
        <v>0</v>
      </c>
      <c r="K49" t="str">
        <f t="shared" si="2"/>
        <v>-</v>
      </c>
      <c r="L49">
        <f t="shared" si="3"/>
        <v>0</v>
      </c>
    </row>
    <row r="50">
      <c r="A50">
        <f>Results!A49</f>
        <v>4</v>
      </c>
      <c r="B50" s="14">
        <f>Results!B49</f>
        <v>46197</v>
      </c>
      <c r="C50" s="15">
        <f>Results!C49</f>
        <v>0.75</v>
      </c>
      <c r="D50" t="str">
        <f>Results!E49</f>
        <v>Morocco</v>
      </c>
      <c r="G50" t="str">
        <f>Results!H49</f>
        <v>Haiti</v>
      </c>
      <c r="H50">
        <f t="shared" si="1"/>
        <v>0</v>
      </c>
      <c r="I50">
        <f>if(Results!I49="-",0,IF(OR(AND(H50&gt;0,Results!J49&gt;0),AND(H50&lt;0,Results!J49&lt;0),AND(H50=0,Results!J49=0)),1,0))</f>
        <v>0</v>
      </c>
      <c r="J50">
        <f>IF(K50="-",0,if(K50=Results!I49,3,0))</f>
        <v>0</v>
      </c>
      <c r="K50" t="str">
        <f t="shared" si="2"/>
        <v>-</v>
      </c>
      <c r="L50">
        <f t="shared" si="3"/>
        <v>0</v>
      </c>
    </row>
    <row r="51">
      <c r="A51">
        <f>Results!A50</f>
        <v>4</v>
      </c>
      <c r="B51" s="14">
        <f>Results!B50</f>
        <v>46197</v>
      </c>
      <c r="C51" s="15">
        <f>Results!C50</f>
        <v>0.75</v>
      </c>
      <c r="D51" t="str">
        <f>Results!E50</f>
        <v>Scotland</v>
      </c>
      <c r="G51" t="str">
        <f>Results!H50</f>
        <v>Brazil</v>
      </c>
      <c r="H51">
        <f t="shared" si="1"/>
        <v>0</v>
      </c>
      <c r="I51">
        <f>if(Results!I50="-",0,IF(OR(AND(H51&gt;0,Results!J50&gt;0),AND(H51&lt;0,Results!J50&lt;0),AND(H51=0,Results!J50=0)),1,0))</f>
        <v>0</v>
      </c>
      <c r="J51">
        <f>IF(K51="-",0,if(K51=Results!I50,3,0))</f>
        <v>0</v>
      </c>
      <c r="K51" t="str">
        <f t="shared" si="2"/>
        <v>-</v>
      </c>
      <c r="L51">
        <f t="shared" si="3"/>
        <v>0</v>
      </c>
    </row>
    <row r="52">
      <c r="A52">
        <f>Results!A51</f>
        <v>4</v>
      </c>
      <c r="B52" s="14">
        <f>Results!B51</f>
        <v>46197</v>
      </c>
      <c r="C52" s="15">
        <f>Results!C51</f>
        <v>0.875</v>
      </c>
      <c r="D52" t="str">
        <f>Results!E51</f>
        <v>Canada</v>
      </c>
      <c r="G52" t="str">
        <f>Results!H51</f>
        <v>Switzerland</v>
      </c>
      <c r="H52">
        <f t="shared" si="1"/>
        <v>0</v>
      </c>
      <c r="I52">
        <f>if(Results!I51="-",0,IF(OR(AND(H52&gt;0,Results!J51&gt;0),AND(H52&lt;0,Results!J51&lt;0),AND(H52=0,Results!J51=0)),1,0))</f>
        <v>0</v>
      </c>
      <c r="J52">
        <f>IF(K52="-",0,if(K52=Results!I51,3,0))</f>
        <v>0</v>
      </c>
      <c r="K52" t="str">
        <f t="shared" si="2"/>
        <v>-</v>
      </c>
      <c r="L52">
        <f t="shared" si="3"/>
        <v>0</v>
      </c>
    </row>
    <row r="53">
      <c r="A53">
        <f>Results!A52</f>
        <v>4</v>
      </c>
      <c r="B53" s="14">
        <f>Results!B52</f>
        <v>46197</v>
      </c>
      <c r="C53" s="15">
        <f>Results!C52</f>
        <v>0.875</v>
      </c>
      <c r="D53" t="str">
        <f>Results!E52</f>
        <v>Bosnia and Herzegovina</v>
      </c>
      <c r="G53" t="str">
        <f>Results!H52</f>
        <v>Qatar</v>
      </c>
      <c r="H53">
        <f t="shared" si="1"/>
        <v>0</v>
      </c>
      <c r="I53">
        <f>if(Results!I52="-",0,IF(OR(AND(H53&gt;0,Results!J52&gt;0),AND(H53&lt;0,Results!J52&lt;0),AND(H53=0,Results!J52=0)),1,0))</f>
        <v>0</v>
      </c>
      <c r="J53">
        <f>IF(K53="-",0,if(K53=Results!I52,3,0))</f>
        <v>0</v>
      </c>
      <c r="K53" t="str">
        <f t="shared" si="2"/>
        <v>-</v>
      </c>
      <c r="L53">
        <f t="shared" si="3"/>
        <v>0</v>
      </c>
    </row>
    <row r="54">
      <c r="A54">
        <f>Results!A53</f>
        <v>5</v>
      </c>
      <c r="B54" s="14">
        <f>Results!B53</f>
        <v>46198</v>
      </c>
      <c r="C54" s="15">
        <f>Results!C53</f>
        <v>0.08333333333</v>
      </c>
      <c r="D54" t="str">
        <f>Results!E53</f>
        <v>Mexico</v>
      </c>
      <c r="G54" t="str">
        <f>Results!H53</f>
        <v>Czechia</v>
      </c>
      <c r="H54">
        <f t="shared" si="1"/>
        <v>0</v>
      </c>
      <c r="I54">
        <f>if(Results!I53="-",0,IF(OR(AND(H54&gt;0,Results!J53&gt;0),AND(H54&lt;0,Results!J53&lt;0),AND(H54=0,Results!J53=0)),1,0))</f>
        <v>0</v>
      </c>
      <c r="J54">
        <f>IF(K54="-",0,if(K54=Results!I53,3,0))</f>
        <v>0</v>
      </c>
      <c r="K54" t="str">
        <f t="shared" si="2"/>
        <v>-</v>
      </c>
      <c r="L54">
        <f t="shared" si="3"/>
        <v>0</v>
      </c>
    </row>
    <row r="55">
      <c r="A55">
        <f>Results!A54</f>
        <v>5</v>
      </c>
      <c r="B55" s="14">
        <f>Results!B54</f>
        <v>46198</v>
      </c>
      <c r="C55" s="15">
        <f>Results!C54</f>
        <v>0.08333333333</v>
      </c>
      <c r="D55" t="str">
        <f>Results!E54</f>
        <v>South Korea</v>
      </c>
      <c r="G55" t="str">
        <f>Results!H54</f>
        <v>South Africa</v>
      </c>
      <c r="H55">
        <f t="shared" si="1"/>
        <v>0</v>
      </c>
      <c r="I55">
        <f>if(Results!I54="-",0,IF(OR(AND(H55&gt;0,Results!J54&gt;0),AND(H55&lt;0,Results!J54&lt;0),AND(H55=0,Results!J54=0)),1,0))</f>
        <v>0</v>
      </c>
      <c r="J55">
        <f>IF(K55="-",0,if(K55=Results!I54,3,0))</f>
        <v>0</v>
      </c>
      <c r="K55" t="str">
        <f t="shared" si="2"/>
        <v>-</v>
      </c>
      <c r="L55">
        <f t="shared" si="3"/>
        <v>0</v>
      </c>
    </row>
    <row r="56">
      <c r="A56">
        <f>Results!A55</f>
        <v>5</v>
      </c>
      <c r="B56" s="14">
        <f>Results!B55</f>
        <v>46198</v>
      </c>
      <c r="C56" s="15">
        <f>Results!C55</f>
        <v>0.75</v>
      </c>
      <c r="D56" t="str">
        <f>Results!E55</f>
        <v>Ecuador</v>
      </c>
      <c r="G56" t="str">
        <f>Results!H55</f>
        <v>Germany</v>
      </c>
      <c r="H56">
        <f t="shared" si="1"/>
        <v>0</v>
      </c>
      <c r="I56">
        <f>if(Results!I55="-",0,IF(OR(AND(H56&gt;0,Results!J55&gt;0),AND(H56&lt;0,Results!J55&lt;0),AND(H56=0,Results!J55=0)),1,0))</f>
        <v>0</v>
      </c>
      <c r="J56">
        <f>IF(K56="-",0,if(K56=Results!I55,3,0))</f>
        <v>0</v>
      </c>
      <c r="K56" t="str">
        <f t="shared" si="2"/>
        <v>-</v>
      </c>
      <c r="L56">
        <f t="shared" si="3"/>
        <v>0</v>
      </c>
    </row>
    <row r="57">
      <c r="A57">
        <f>Results!A56</f>
        <v>5</v>
      </c>
      <c r="B57" s="14">
        <f>Results!B56</f>
        <v>46198</v>
      </c>
      <c r="C57" s="15">
        <f>Results!C56</f>
        <v>0.75</v>
      </c>
      <c r="D57" t="str">
        <f>Results!E56</f>
        <v>Curaçao</v>
      </c>
      <c r="G57" t="str">
        <f>Results!H56</f>
        <v>Ivory Coast</v>
      </c>
      <c r="H57">
        <f t="shared" si="1"/>
        <v>0</v>
      </c>
      <c r="I57">
        <f>if(Results!I56="-",0,IF(OR(AND(H57&gt;0,Results!J56&gt;0),AND(H57&lt;0,Results!J56&lt;0),AND(H57=0,Results!J56=0)),1,0))</f>
        <v>0</v>
      </c>
      <c r="J57">
        <f>IF(K57="-",0,if(K57=Results!I56,3,0))</f>
        <v>0</v>
      </c>
      <c r="K57" t="str">
        <f t="shared" si="2"/>
        <v>-</v>
      </c>
      <c r="L57">
        <f t="shared" si="3"/>
        <v>0</v>
      </c>
    </row>
    <row r="58">
      <c r="A58">
        <f>Results!A57</f>
        <v>5</v>
      </c>
      <c r="B58" s="14">
        <f>Results!B57</f>
        <v>46198</v>
      </c>
      <c r="C58" s="15">
        <f>Results!C57</f>
        <v>0.875</v>
      </c>
      <c r="D58" t="str">
        <f>Results!E57</f>
        <v>Tunisia</v>
      </c>
      <c r="G58" t="str">
        <f>Results!H57</f>
        <v>Netherlands</v>
      </c>
      <c r="H58">
        <f t="shared" si="1"/>
        <v>0</v>
      </c>
      <c r="I58">
        <f>if(Results!I57="-",0,IF(OR(AND(H58&gt;0,Results!J57&gt;0),AND(H58&lt;0,Results!J57&lt;0),AND(H58=0,Results!J57=0)),1,0))</f>
        <v>0</v>
      </c>
      <c r="J58">
        <f>IF(K58="-",0,if(K58=Results!I57,3,0))</f>
        <v>0</v>
      </c>
      <c r="K58" t="str">
        <f t="shared" si="2"/>
        <v>-</v>
      </c>
      <c r="L58">
        <f t="shared" si="3"/>
        <v>0</v>
      </c>
    </row>
    <row r="59">
      <c r="A59">
        <f>Results!A58</f>
        <v>5</v>
      </c>
      <c r="B59" s="14">
        <f>Results!B58</f>
        <v>46198</v>
      </c>
      <c r="C59" s="15">
        <f>Results!C58</f>
        <v>0.875</v>
      </c>
      <c r="D59" t="str">
        <f>Results!E58</f>
        <v>Japan</v>
      </c>
      <c r="G59" t="str">
        <f>Results!H58</f>
        <v>Sweden</v>
      </c>
      <c r="H59">
        <f t="shared" si="1"/>
        <v>0</v>
      </c>
      <c r="I59">
        <f>if(Results!I58="-",0,IF(OR(AND(H59&gt;0,Results!J58&gt;0),AND(H59&lt;0,Results!J58&lt;0),AND(H59=0,Results!J58=0)),1,0))</f>
        <v>0</v>
      </c>
      <c r="J59">
        <f>IF(K59="-",0,if(K59=Results!I58,3,0))</f>
        <v>0</v>
      </c>
      <c r="K59" t="str">
        <f t="shared" si="2"/>
        <v>-</v>
      </c>
      <c r="L59">
        <f t="shared" si="3"/>
        <v>0</v>
      </c>
    </row>
    <row r="60">
      <c r="A60">
        <f>Results!A59</f>
        <v>6</v>
      </c>
      <c r="B60" s="14">
        <f>Results!B59</f>
        <v>46199</v>
      </c>
      <c r="C60" s="15">
        <f>Results!C59</f>
        <v>0.04166666667</v>
      </c>
      <c r="D60" t="str">
        <f>Results!E59</f>
        <v>USA</v>
      </c>
      <c r="G60" t="str">
        <f>Results!H59</f>
        <v>Türkiye</v>
      </c>
      <c r="H60">
        <f t="shared" si="1"/>
        <v>0</v>
      </c>
      <c r="I60">
        <f>if(Results!I59="-",0,IF(OR(AND(H60&gt;0,Results!J59&gt;0),AND(H60&lt;0,Results!J59&lt;0),AND(H60=0,Results!J59=0)),1,0))</f>
        <v>0</v>
      </c>
      <c r="J60">
        <f>IF(K60="-",0,if(K60=Results!I59,3,0))</f>
        <v>0</v>
      </c>
      <c r="K60" t="str">
        <f t="shared" si="2"/>
        <v>-</v>
      </c>
      <c r="L60">
        <f t="shared" si="3"/>
        <v>0</v>
      </c>
    </row>
    <row r="61">
      <c r="A61">
        <f>Results!A60</f>
        <v>6</v>
      </c>
      <c r="B61" s="14">
        <f>Results!B60</f>
        <v>46199</v>
      </c>
      <c r="C61" s="15">
        <f>Results!C60</f>
        <v>0.04166666667</v>
      </c>
      <c r="D61" t="str">
        <f>Results!E60</f>
        <v>Paraguay</v>
      </c>
      <c r="G61" t="str">
        <f>Results!H60</f>
        <v>Australia</v>
      </c>
      <c r="H61">
        <f t="shared" si="1"/>
        <v>0</v>
      </c>
      <c r="I61">
        <f>if(Results!I60="-",0,IF(OR(AND(H61&gt;0,Results!J60&gt;0),AND(H61&lt;0,Results!J60&lt;0),AND(H61=0,Results!J60=0)),1,0))</f>
        <v>0</v>
      </c>
      <c r="J61">
        <f>IF(K61="-",0,if(K61=Results!I60,3,0))</f>
        <v>0</v>
      </c>
      <c r="K61" t="str">
        <f t="shared" si="2"/>
        <v>-</v>
      </c>
      <c r="L61">
        <f t="shared" si="3"/>
        <v>0</v>
      </c>
    </row>
    <row r="62">
      <c r="A62">
        <f>Results!A61</f>
        <v>6</v>
      </c>
      <c r="B62" s="14">
        <f>Results!B61</f>
        <v>46199</v>
      </c>
      <c r="C62" s="15">
        <f>Results!C61</f>
        <v>0.75</v>
      </c>
      <c r="D62" t="str">
        <f>Results!E61</f>
        <v>Belgium</v>
      </c>
      <c r="G62" t="str">
        <f>Results!H61</f>
        <v>New Zealand</v>
      </c>
      <c r="H62">
        <f t="shared" si="1"/>
        <v>0</v>
      </c>
      <c r="I62">
        <f>if(Results!I61="-",0,IF(OR(AND(H62&gt;0,Results!J61&gt;0),AND(H62&lt;0,Results!J61&lt;0),AND(H62=0,Results!J61=0)),1,0))</f>
        <v>0</v>
      </c>
      <c r="J62">
        <f>IF(K62="-",0,if(K62=Results!I61,3,0))</f>
        <v>0</v>
      </c>
      <c r="K62" t="str">
        <f t="shared" si="2"/>
        <v>-</v>
      </c>
      <c r="L62">
        <f t="shared" si="3"/>
        <v>0</v>
      </c>
    </row>
    <row r="63">
      <c r="A63">
        <f>Results!A62</f>
        <v>6</v>
      </c>
      <c r="B63" s="14">
        <f>Results!B62</f>
        <v>46199</v>
      </c>
      <c r="C63" s="15">
        <f>Results!C62</f>
        <v>0.75</v>
      </c>
      <c r="D63" t="str">
        <f>Results!E62</f>
        <v>Egypt</v>
      </c>
      <c r="G63" t="str">
        <f>Results!H62</f>
        <v>Iran</v>
      </c>
      <c r="H63">
        <f t="shared" si="1"/>
        <v>0</v>
      </c>
      <c r="I63">
        <f>if(Results!I62="-",0,IF(OR(AND(H63&gt;0,Results!J62&gt;0),AND(H63&lt;0,Results!J62&lt;0),AND(H63=0,Results!J62=0)),1,0))</f>
        <v>0</v>
      </c>
      <c r="J63">
        <f>IF(K63="-",0,if(K63=Results!I62,3,0))</f>
        <v>0</v>
      </c>
      <c r="K63" t="str">
        <f t="shared" si="2"/>
        <v>-</v>
      </c>
      <c r="L63">
        <f t="shared" si="3"/>
        <v>0</v>
      </c>
    </row>
    <row r="64">
      <c r="A64">
        <f>Results!A63</f>
        <v>6</v>
      </c>
      <c r="B64" s="14">
        <f>Results!B63</f>
        <v>46199</v>
      </c>
      <c r="C64" s="15">
        <f>Results!C63</f>
        <v>0.875</v>
      </c>
      <c r="D64" t="str">
        <f>Results!E63</f>
        <v>Spain</v>
      </c>
      <c r="G64" t="str">
        <f>Results!H63</f>
        <v>Uruguay</v>
      </c>
      <c r="H64">
        <f t="shared" si="1"/>
        <v>0</v>
      </c>
      <c r="I64">
        <f>if(Results!I63="-",0,IF(OR(AND(H64&gt;0,Results!J63&gt;0),AND(H64&lt;0,Results!J63&lt;0),AND(H64=0,Results!J63=0)),1,0))</f>
        <v>0</v>
      </c>
      <c r="J64">
        <f>IF(K64="-",0,if(K64=Results!I63,3,0))</f>
        <v>0</v>
      </c>
      <c r="K64" t="str">
        <f t="shared" si="2"/>
        <v>-</v>
      </c>
      <c r="L64">
        <f t="shared" si="3"/>
        <v>0</v>
      </c>
    </row>
    <row r="65">
      <c r="A65">
        <f>Results!A64</f>
        <v>6</v>
      </c>
      <c r="B65" s="14">
        <f>Results!B64</f>
        <v>46199</v>
      </c>
      <c r="C65" s="15">
        <f>Results!C64</f>
        <v>0.875</v>
      </c>
      <c r="D65" t="str">
        <f>Results!E64</f>
        <v>Cape Verde</v>
      </c>
      <c r="G65" t="str">
        <f>Results!H64</f>
        <v>Saudi Arabia</v>
      </c>
      <c r="H65">
        <f t="shared" si="1"/>
        <v>0</v>
      </c>
      <c r="I65">
        <f>if(Results!I64="-",0,IF(OR(AND(H65&gt;0,Results!J64&gt;0),AND(H65&lt;0,Results!J64&lt;0),AND(H65=0,Results!J64=0)),1,0))</f>
        <v>0</v>
      </c>
      <c r="J65">
        <f>IF(K65="-",0,if(K65=Results!I64,3,0))</f>
        <v>0</v>
      </c>
      <c r="K65" t="str">
        <f t="shared" si="2"/>
        <v>-</v>
      </c>
      <c r="L65">
        <f t="shared" si="3"/>
        <v>0</v>
      </c>
    </row>
    <row r="66">
      <c r="A66">
        <f>Results!A65</f>
        <v>7</v>
      </c>
      <c r="B66" s="14">
        <f>Results!B65</f>
        <v>46200</v>
      </c>
      <c r="C66" s="15">
        <f>Results!C65</f>
        <v>0.04166666667</v>
      </c>
      <c r="D66" t="str">
        <f>Results!E65</f>
        <v>France</v>
      </c>
      <c r="G66" t="str">
        <f>Results!H65</f>
        <v>Norway</v>
      </c>
      <c r="H66">
        <f t="shared" si="1"/>
        <v>0</v>
      </c>
      <c r="I66">
        <f>if(Results!I65="-",0,IF(OR(AND(H66&gt;0,Results!J65&gt;0),AND(H66&lt;0,Results!J65&lt;0),AND(H66=0,Results!J65=0)),1,0))</f>
        <v>0</v>
      </c>
      <c r="J66">
        <f>IF(K66="-",0,if(K66=Results!I65,3,0))</f>
        <v>0</v>
      </c>
      <c r="K66" t="str">
        <f t="shared" si="2"/>
        <v>-</v>
      </c>
      <c r="L66">
        <f t="shared" si="3"/>
        <v>0</v>
      </c>
    </row>
    <row r="67">
      <c r="A67">
        <f>Results!A66</f>
        <v>7</v>
      </c>
      <c r="B67" s="14">
        <f>Results!B66</f>
        <v>46200</v>
      </c>
      <c r="C67" s="15">
        <f>Results!C66</f>
        <v>0.04166666667</v>
      </c>
      <c r="D67" t="str">
        <f>Results!E66</f>
        <v>Senegal</v>
      </c>
      <c r="G67" t="str">
        <f>Results!H66</f>
        <v>Iraq</v>
      </c>
      <c r="H67">
        <f t="shared" si="1"/>
        <v>0</v>
      </c>
      <c r="I67">
        <f>if(Results!I66="-",0,IF(OR(AND(H67&gt;0,Results!J66&gt;0),AND(H67&lt;0,Results!J66&lt;0),AND(H67=0,Results!J66=0)),1,0))</f>
        <v>0</v>
      </c>
      <c r="J67">
        <f>IF(K67="-",0,if(K67=Results!I66,3,0))</f>
        <v>0</v>
      </c>
      <c r="K67" t="str">
        <f t="shared" si="2"/>
        <v>-</v>
      </c>
      <c r="L67">
        <f t="shared" si="3"/>
        <v>0</v>
      </c>
    </row>
    <row r="68">
      <c r="A68">
        <f>Results!A67</f>
        <v>7</v>
      </c>
      <c r="B68" s="14">
        <f>Results!B67</f>
        <v>46200</v>
      </c>
      <c r="C68" s="15">
        <f>Results!C67</f>
        <v>0.75</v>
      </c>
      <c r="D68" t="str">
        <f>Results!E67</f>
        <v>Jordan</v>
      </c>
      <c r="G68" t="str">
        <f>Results!H67</f>
        <v>Argentina</v>
      </c>
      <c r="H68">
        <f t="shared" si="1"/>
        <v>0</v>
      </c>
      <c r="I68">
        <f>if(Results!I67="-",0,IF(OR(AND(H68&gt;0,Results!J67&gt;0),AND(H68&lt;0,Results!J67&lt;0),AND(H68=0,Results!J67=0)),1,0))</f>
        <v>0</v>
      </c>
      <c r="J68">
        <f>IF(K68="-",0,if(K68=Results!I67,3,0))</f>
        <v>0</v>
      </c>
      <c r="K68" t="str">
        <f t="shared" si="2"/>
        <v>-</v>
      </c>
      <c r="L68">
        <f t="shared" si="3"/>
        <v>0</v>
      </c>
    </row>
    <row r="69">
      <c r="A69">
        <f>Results!A68</f>
        <v>7</v>
      </c>
      <c r="B69" s="14">
        <f>Results!B68</f>
        <v>46200</v>
      </c>
      <c r="C69" s="15">
        <f>Results!C68</f>
        <v>0.75</v>
      </c>
      <c r="D69" t="str">
        <f>Results!E68</f>
        <v>Algeria</v>
      </c>
      <c r="G69" t="str">
        <f>Results!H68</f>
        <v>Austria</v>
      </c>
      <c r="H69">
        <f t="shared" si="1"/>
        <v>0</v>
      </c>
      <c r="I69">
        <f>if(Results!I68="-",0,IF(OR(AND(H69&gt;0,Results!J68&gt;0),AND(H69&lt;0,Results!J68&lt;0),AND(H69=0,Results!J68=0)),1,0))</f>
        <v>0</v>
      </c>
      <c r="J69">
        <f>IF(K69="-",0,if(K69=Results!I68,3,0))</f>
        <v>0</v>
      </c>
      <c r="K69" t="str">
        <f t="shared" si="2"/>
        <v>-</v>
      </c>
      <c r="L69">
        <f t="shared" si="3"/>
        <v>0</v>
      </c>
    </row>
    <row r="70">
      <c r="A70">
        <f>Results!A69</f>
        <v>7</v>
      </c>
      <c r="B70" s="14">
        <f>Results!B69</f>
        <v>46200</v>
      </c>
      <c r="C70" s="15">
        <f>Results!C69</f>
        <v>0.875</v>
      </c>
      <c r="D70" t="str">
        <f>Results!E69</f>
        <v>Colombia</v>
      </c>
      <c r="G70" t="str">
        <f>Results!H69</f>
        <v>Portugal</v>
      </c>
      <c r="H70">
        <f t="shared" si="1"/>
        <v>0</v>
      </c>
      <c r="I70">
        <f>if(Results!I69="-",0,IF(OR(AND(H70&gt;0,Results!J69&gt;0),AND(H70&lt;0,Results!J69&lt;0),AND(H70=0,Results!J69=0)),1,0))</f>
        <v>0</v>
      </c>
      <c r="J70">
        <f>IF(K70="-",0,if(K70=Results!I69,3,0))</f>
        <v>0</v>
      </c>
      <c r="K70" t="str">
        <f t="shared" si="2"/>
        <v>-</v>
      </c>
      <c r="L70">
        <f t="shared" si="3"/>
        <v>0</v>
      </c>
    </row>
    <row r="71">
      <c r="A71">
        <f>Results!A70</f>
        <v>7</v>
      </c>
      <c r="B71" s="14">
        <f>Results!B70</f>
        <v>46200</v>
      </c>
      <c r="C71" s="15">
        <f>Results!C70</f>
        <v>0.875</v>
      </c>
      <c r="D71" t="str">
        <f>Results!E70</f>
        <v>Congo DR</v>
      </c>
      <c r="G71" t="str">
        <f>Results!H70</f>
        <v>Uzbekistan</v>
      </c>
      <c r="H71">
        <f t="shared" si="1"/>
        <v>0</v>
      </c>
      <c r="I71">
        <f>if(Results!I70="-",0,IF(OR(AND(H71&gt;0,Results!J70&gt;0),AND(H71&lt;0,Results!J70&lt;0),AND(H71=0,Results!J70=0)),1,0))</f>
        <v>0</v>
      </c>
      <c r="J71">
        <f>IF(K71="-",0,if(K71=Results!I70,3,0))</f>
        <v>0</v>
      </c>
      <c r="K71" t="str">
        <f t="shared" si="2"/>
        <v>-</v>
      </c>
      <c r="L71">
        <f t="shared" si="3"/>
        <v>0</v>
      </c>
    </row>
    <row r="72">
      <c r="A72">
        <f>Results!A71</f>
        <v>1</v>
      </c>
      <c r="B72" s="14">
        <f>Results!B71</f>
        <v>46201</v>
      </c>
      <c r="C72" s="15">
        <f>Results!C71</f>
        <v>0.04166666667</v>
      </c>
      <c r="D72" t="str">
        <f>Results!E71</f>
        <v>Panama</v>
      </c>
      <c r="G72" t="str">
        <f>Results!H71</f>
        <v>England</v>
      </c>
      <c r="H72">
        <f t="shared" si="1"/>
        <v>0</v>
      </c>
      <c r="I72">
        <f>if(Results!I71="-",0,IF(OR(AND(H72&gt;0,Results!J71&gt;0),AND(H72&lt;0,Results!J71&lt;0),AND(H72=0,Results!J71=0)),1,0))</f>
        <v>0</v>
      </c>
      <c r="J72">
        <f>IF(K72="-",0,if(K72=Results!I71,3,0))</f>
        <v>0</v>
      </c>
      <c r="K72" t="str">
        <f t="shared" si="2"/>
        <v>-</v>
      </c>
      <c r="L72">
        <f t="shared" si="3"/>
        <v>0</v>
      </c>
    </row>
    <row r="73">
      <c r="A73">
        <f>Results!A72</f>
        <v>1</v>
      </c>
      <c r="B73" s="14">
        <f>Results!B72</f>
        <v>46201</v>
      </c>
      <c r="C73" s="15">
        <f>Results!C72</f>
        <v>0.04166666667</v>
      </c>
      <c r="D73" t="str">
        <f>Results!E72</f>
        <v>Croatia</v>
      </c>
      <c r="G73" t="str">
        <f>Results!H72</f>
        <v>Ghana</v>
      </c>
      <c r="H73">
        <f t="shared" si="1"/>
        <v>0</v>
      </c>
      <c r="I73">
        <f>if(Results!I72="-",0,IF(OR(AND(H73&gt;0,Results!J72&gt;0),AND(H73&lt;0,Results!J72&lt;0),AND(H73=0,Results!J72=0)),1,0))</f>
        <v>0</v>
      </c>
      <c r="J73">
        <f>IF(K73="-",0,if(K73=Results!I72,3,0))</f>
        <v>0</v>
      </c>
      <c r="K73" t="str">
        <f t="shared" si="2"/>
        <v>-</v>
      </c>
      <c r="L73">
        <f t="shared" si="3"/>
        <v>0</v>
      </c>
    </row>
    <row r="74">
      <c r="A74">
        <f>Results!A73</f>
        <v>1</v>
      </c>
      <c r="B74" s="14">
        <f>Results!B73</f>
        <v>46201</v>
      </c>
      <c r="C74" s="15">
        <f>Results!C73</f>
        <v>0.75</v>
      </c>
      <c r="D74" t="str">
        <f>Results!E73</f>
        <v>Winner Group A</v>
      </c>
      <c r="G74" t="str">
        <f>Results!H73</f>
        <v>3rd Place Group C/D/E</v>
      </c>
      <c r="H74">
        <f t="shared" si="1"/>
        <v>0</v>
      </c>
      <c r="I74">
        <f>if(Results!I73="-",0,IF(OR(AND(H74&gt;0,Results!J73&gt;0),AND(H74&lt;0,Results!J73&lt;0),AND(H74=0,Results!J73=0)),1,0))</f>
        <v>0</v>
      </c>
      <c r="J74">
        <f>IF(K74="-",0,if(K74=Results!I73,3,0))</f>
        <v>0</v>
      </c>
      <c r="K74" t="str">
        <f t="shared" si="2"/>
        <v>-</v>
      </c>
      <c r="L74">
        <f t="shared" si="3"/>
        <v>0</v>
      </c>
    </row>
    <row r="75">
      <c r="A75">
        <f>Results!A74</f>
        <v>1</v>
      </c>
      <c r="B75" s="14">
        <f>Results!B74</f>
        <v>46201</v>
      </c>
      <c r="C75" s="15">
        <f>Results!C74</f>
        <v>0.8958333333</v>
      </c>
      <c r="D75" t="str">
        <f>Results!E74</f>
        <v>Runner-up Group A</v>
      </c>
      <c r="G75" t="str">
        <f>Results!H74</f>
        <v>Runner-up Group B</v>
      </c>
      <c r="H75">
        <f t="shared" si="1"/>
        <v>0</v>
      </c>
      <c r="I75">
        <f>if(Results!I74="-",0,IF(OR(AND(H75&gt;0,Results!J74&gt;0),AND(H75&lt;0,Results!J74&lt;0),AND(H75=0,Results!J74=0)),1,0))</f>
        <v>0</v>
      </c>
      <c r="J75">
        <f>IF(K75="-",0,if(K75=Results!I74,3,0))</f>
        <v>0</v>
      </c>
      <c r="K75" t="str">
        <f t="shared" si="2"/>
        <v>-</v>
      </c>
      <c r="L75">
        <f t="shared" si="3"/>
        <v>0</v>
      </c>
    </row>
    <row r="76">
      <c r="A76">
        <f>Results!A75</f>
        <v>2</v>
      </c>
      <c r="B76" s="14">
        <f>Results!B75</f>
        <v>46202</v>
      </c>
      <c r="C76" s="15">
        <f>Results!C75</f>
        <v>0.75</v>
      </c>
      <c r="D76" t="str">
        <f>Results!E75</f>
        <v>Winner Group C</v>
      </c>
      <c r="G76" t="str">
        <f>Results!H75</f>
        <v>Runner-up Group D</v>
      </c>
      <c r="H76">
        <f t="shared" si="1"/>
        <v>0</v>
      </c>
      <c r="I76">
        <f>if(Results!I75="-",0,IF(OR(AND(H76&gt;0,Results!J75&gt;0),AND(H76&lt;0,Results!J75&lt;0),AND(H76=0,Results!J75=0)),1,0))</f>
        <v>0</v>
      </c>
      <c r="J76">
        <f>IF(K76="-",0,if(K76=Results!I75,3,0))</f>
        <v>0</v>
      </c>
      <c r="K76" t="str">
        <f t="shared" si="2"/>
        <v>-</v>
      </c>
      <c r="L76">
        <f t="shared" si="3"/>
        <v>0</v>
      </c>
    </row>
    <row r="77">
      <c r="A77">
        <f>Results!A76</f>
        <v>2</v>
      </c>
      <c r="B77" s="14">
        <f>Results!B76</f>
        <v>46202</v>
      </c>
      <c r="C77" s="15">
        <f>Results!C76</f>
        <v>0.8958333333</v>
      </c>
      <c r="D77" t="str">
        <f>Results!E76</f>
        <v>Winner Group E</v>
      </c>
      <c r="G77" t="str">
        <f>Results!H76</f>
        <v>3rd Place Group A/B/C</v>
      </c>
      <c r="H77">
        <f t="shared" si="1"/>
        <v>0</v>
      </c>
      <c r="I77">
        <f>if(Results!I76="-",0,IF(OR(AND(H77&gt;0,Results!J76&gt;0),AND(H77&lt;0,Results!J76&lt;0),AND(H77=0,Results!J76=0)),1,0))</f>
        <v>0</v>
      </c>
      <c r="J77">
        <f>IF(K77="-",0,if(K77=Results!I76,3,0))</f>
        <v>0</v>
      </c>
      <c r="K77" t="str">
        <f t="shared" si="2"/>
        <v>-</v>
      </c>
      <c r="L77">
        <f t="shared" si="3"/>
        <v>0</v>
      </c>
    </row>
    <row r="78">
      <c r="A78">
        <f>Results!A77</f>
        <v>3</v>
      </c>
      <c r="B78" s="14">
        <f>Results!B77</f>
        <v>46203</v>
      </c>
      <c r="C78" s="15">
        <f>Results!C77</f>
        <v>0.75</v>
      </c>
      <c r="D78" t="str">
        <f>Results!E77</f>
        <v>Winner Group F</v>
      </c>
      <c r="G78" t="str">
        <f>Results!H77</f>
        <v>Runner-up Group C</v>
      </c>
      <c r="H78">
        <f t="shared" si="1"/>
        <v>0</v>
      </c>
      <c r="I78">
        <f>if(Results!I77="-",0,IF(OR(AND(H78&gt;0,Results!J77&gt;0),AND(H78&lt;0,Results!J77&lt;0),AND(H78=0,Results!J77=0)),1,0))</f>
        <v>0</v>
      </c>
      <c r="J78">
        <f>IF(K78="-",0,if(K78=Results!I77,3,0))</f>
        <v>0</v>
      </c>
      <c r="K78" t="str">
        <f t="shared" si="2"/>
        <v>-</v>
      </c>
      <c r="L78">
        <f t="shared" si="3"/>
        <v>0</v>
      </c>
    </row>
    <row r="79">
      <c r="A79">
        <f>Results!A78</f>
        <v>3</v>
      </c>
      <c r="B79" s="14">
        <f>Results!B78</f>
        <v>46203</v>
      </c>
      <c r="C79" s="15">
        <f>Results!C78</f>
        <v>0.9166666667</v>
      </c>
      <c r="D79" t="str">
        <f>Results!E78</f>
        <v>Winner Group B</v>
      </c>
      <c r="G79" t="str">
        <f>Results!H78</f>
        <v>3rd Place Group E/F/G</v>
      </c>
      <c r="H79">
        <f t="shared" si="1"/>
        <v>0</v>
      </c>
      <c r="I79">
        <f>if(Results!I78="-",0,IF(OR(AND(H79&gt;0,Results!J78&gt;0),AND(H79&lt;0,Results!J78&lt;0),AND(H79=0,Results!J78=0)),1,0))</f>
        <v>0</v>
      </c>
      <c r="J79">
        <f>IF(K79="-",0,if(K79=Results!I78,3,0))</f>
        <v>0</v>
      </c>
      <c r="K79" t="str">
        <f t="shared" si="2"/>
        <v>-</v>
      </c>
      <c r="L79">
        <f t="shared" si="3"/>
        <v>0</v>
      </c>
    </row>
    <row r="80">
      <c r="A80">
        <f>Results!A79</f>
        <v>4</v>
      </c>
      <c r="B80" s="16">
        <f>Results!B79</f>
        <v>46204</v>
      </c>
      <c r="C80" s="15">
        <f>Results!C79</f>
        <v>0.04166666667</v>
      </c>
      <c r="D80" t="str">
        <f>Results!E79</f>
        <v>Winner Group G</v>
      </c>
      <c r="G80" t="str">
        <f>Results!H79</f>
        <v>Runner-up Group H</v>
      </c>
      <c r="H80">
        <f t="shared" si="1"/>
        <v>0</v>
      </c>
      <c r="I80">
        <f>if(Results!I79="-",0,IF(OR(AND(H80&gt;0,Results!J79&gt;0),AND(H80&lt;0,Results!J79&lt;0),AND(H80=0,Results!J79=0)),1,0))</f>
        <v>0</v>
      </c>
      <c r="J80">
        <f>IF(K80="-",0,if(K80=Results!I79,3,0))</f>
        <v>0</v>
      </c>
      <c r="K80" t="str">
        <f t="shared" si="2"/>
        <v>-</v>
      </c>
      <c r="L80">
        <f t="shared" si="3"/>
        <v>0</v>
      </c>
    </row>
    <row r="81">
      <c r="A81">
        <f>Results!A80</f>
        <v>4</v>
      </c>
      <c r="B81" s="16">
        <f>Results!B80</f>
        <v>46204</v>
      </c>
      <c r="C81" s="15">
        <f>Results!C80</f>
        <v>0.75</v>
      </c>
      <c r="D81" t="str">
        <f>Results!E80</f>
        <v>Winner Group D</v>
      </c>
      <c r="G81" t="str">
        <f>Results!H80</f>
        <v>3rd Place Group I/J/K</v>
      </c>
      <c r="H81">
        <f t="shared" si="1"/>
        <v>0</v>
      </c>
      <c r="I81">
        <f>if(Results!I80="-",0,IF(OR(AND(H81&gt;0,Results!J80&gt;0),AND(H81&lt;0,Results!J80&lt;0),AND(H81=0,Results!J80=0)),1,0))</f>
        <v>0</v>
      </c>
      <c r="J81">
        <f>IF(K81="-",0,if(K81=Results!I80,3,0))</f>
        <v>0</v>
      </c>
      <c r="K81" t="str">
        <f t="shared" si="2"/>
        <v>-</v>
      </c>
      <c r="L81">
        <f t="shared" si="3"/>
        <v>0</v>
      </c>
    </row>
    <row r="82">
      <c r="A82">
        <f>Results!A81</f>
        <v>4</v>
      </c>
      <c r="B82" s="16">
        <f>Results!B81</f>
        <v>46204</v>
      </c>
      <c r="C82" s="15">
        <f>Results!C81</f>
        <v>0.875</v>
      </c>
      <c r="D82" t="str">
        <f>Results!E81</f>
        <v>Winner Group H</v>
      </c>
      <c r="G82" t="str">
        <f>Results!H81</f>
        <v>Runner-up Group G</v>
      </c>
      <c r="H82">
        <f t="shared" si="1"/>
        <v>0</v>
      </c>
      <c r="I82">
        <f>if(Results!I81="-",0,IF(OR(AND(H82&gt;0,Results!J81&gt;0),AND(H82&lt;0,Results!J81&lt;0),AND(H82=0,Results!J81=0)),1,0))</f>
        <v>0</v>
      </c>
      <c r="J82">
        <f>IF(K82="-",0,if(K82=Results!I81,3,0))</f>
        <v>0</v>
      </c>
      <c r="K82" t="str">
        <f t="shared" si="2"/>
        <v>-</v>
      </c>
      <c r="L82">
        <f t="shared" si="3"/>
        <v>0</v>
      </c>
    </row>
    <row r="83">
      <c r="A83">
        <f>Results!A82</f>
        <v>5</v>
      </c>
      <c r="B83" s="16">
        <f>Results!B82</f>
        <v>46205</v>
      </c>
      <c r="C83" s="15">
        <f>Results!C82</f>
        <v>0.04166666667</v>
      </c>
      <c r="D83" t="str">
        <f>Results!E82</f>
        <v>Winner Group I</v>
      </c>
      <c r="G83" t="str">
        <f>Results!H82</f>
        <v>3rd Place Group B/C/F</v>
      </c>
      <c r="H83">
        <f t="shared" si="1"/>
        <v>0</v>
      </c>
      <c r="I83">
        <f>if(Results!I82="-",0,IF(OR(AND(H83&gt;0,Results!J82&gt;0),AND(H83&lt;0,Results!J82&lt;0),AND(H83=0,Results!J82=0)),1,0))</f>
        <v>0</v>
      </c>
      <c r="J83">
        <f>IF(K83="-",0,if(K83=Results!I82,3,0))</f>
        <v>0</v>
      </c>
      <c r="K83" t="str">
        <f t="shared" si="2"/>
        <v>-</v>
      </c>
      <c r="L83">
        <f t="shared" si="3"/>
        <v>0</v>
      </c>
    </row>
    <row r="84">
      <c r="A84">
        <f>Results!A83</f>
        <v>5</v>
      </c>
      <c r="B84" s="16">
        <f>Results!B83</f>
        <v>46205</v>
      </c>
      <c r="C84" s="15">
        <f>Results!C83</f>
        <v>0.75</v>
      </c>
      <c r="D84" t="str">
        <f>Results!E83</f>
        <v>Winner Group J</v>
      </c>
      <c r="G84" t="str">
        <f>Results!H83</f>
        <v>Runner-up Group K</v>
      </c>
      <c r="H84">
        <f t="shared" si="1"/>
        <v>0</v>
      </c>
      <c r="I84">
        <f>if(Results!I83="-",0,IF(OR(AND(H84&gt;0,Results!J83&gt;0),AND(H84&lt;0,Results!J83&lt;0),AND(H84=0,Results!J83=0)),1,0))</f>
        <v>0</v>
      </c>
      <c r="J84">
        <f>IF(K84="-",0,if(K84=Results!I83,3,0))</f>
        <v>0</v>
      </c>
      <c r="K84" t="str">
        <f t="shared" si="2"/>
        <v>-</v>
      </c>
      <c r="L84">
        <f t="shared" si="3"/>
        <v>0</v>
      </c>
    </row>
    <row r="85">
      <c r="A85">
        <f>Results!A84</f>
        <v>5</v>
      </c>
      <c r="B85" s="16">
        <f>Results!B84</f>
        <v>46205</v>
      </c>
      <c r="C85" s="15">
        <f>Results!C84</f>
        <v>0.875</v>
      </c>
      <c r="D85" t="str">
        <f>Results!E84</f>
        <v>Winner Group K</v>
      </c>
      <c r="G85" t="str">
        <f>Results!H84</f>
        <v>Runner-up Group J</v>
      </c>
      <c r="H85">
        <f t="shared" si="1"/>
        <v>0</v>
      </c>
      <c r="I85">
        <f>if(Results!I84="-",0,IF(OR(AND(H85&gt;0,Results!J84&gt;0),AND(H85&lt;0,Results!J84&lt;0),AND(H85=0,Results!J84=0)),1,0))</f>
        <v>0</v>
      </c>
      <c r="J85">
        <f>IF(K85="-",0,if(K85=Results!I84,3,0))</f>
        <v>0</v>
      </c>
      <c r="K85" t="str">
        <f t="shared" si="2"/>
        <v>-</v>
      </c>
      <c r="L85">
        <f t="shared" si="3"/>
        <v>0</v>
      </c>
    </row>
    <row r="86">
      <c r="A86">
        <f>Results!A85</f>
        <v>6</v>
      </c>
      <c r="B86" s="16">
        <f>Results!B85</f>
        <v>46206</v>
      </c>
      <c r="C86" s="15">
        <f>Results!C85</f>
        <v>0.04166666667</v>
      </c>
      <c r="D86" t="str">
        <f>Results!E85</f>
        <v>Winner Group L</v>
      </c>
      <c r="G86" t="str">
        <f>Results!H85</f>
        <v>3rd Place Group A/D/H</v>
      </c>
      <c r="H86">
        <f t="shared" si="1"/>
        <v>0</v>
      </c>
      <c r="I86">
        <f>if(Results!I85="-",0,IF(OR(AND(H86&gt;0,Results!J85&gt;0),AND(H86&lt;0,Results!J85&lt;0),AND(H86=0,Results!J85=0)),1,0))</f>
        <v>0</v>
      </c>
      <c r="J86">
        <f>IF(K86="-",0,if(K86=Results!I85,3,0))</f>
        <v>0</v>
      </c>
      <c r="K86" t="str">
        <f t="shared" si="2"/>
        <v>-</v>
      </c>
      <c r="L86">
        <f t="shared" si="3"/>
        <v>0</v>
      </c>
    </row>
    <row r="87">
      <c r="A87">
        <f>Results!A86</f>
        <v>6</v>
      </c>
      <c r="B87" s="16">
        <f>Results!B86</f>
        <v>46206</v>
      </c>
      <c r="C87" s="15">
        <f>Results!C86</f>
        <v>0.75</v>
      </c>
      <c r="D87" t="str">
        <f>Results!E86</f>
        <v>Runner-up Group D</v>
      </c>
      <c r="G87" t="str">
        <f>Results!H86</f>
        <v>Runner-up Group E</v>
      </c>
      <c r="H87">
        <f t="shared" si="1"/>
        <v>0</v>
      </c>
      <c r="I87">
        <f>if(Results!I86="-",0,IF(OR(AND(H87&gt;0,Results!J86&gt;0),AND(H87&lt;0,Results!J86&lt;0),AND(H87=0,Results!J86=0)),1,0))</f>
        <v>0</v>
      </c>
      <c r="J87">
        <f>IF(K87="-",0,if(K87=Results!I86,3,0))</f>
        <v>0</v>
      </c>
      <c r="K87" t="str">
        <f t="shared" si="2"/>
        <v>-</v>
      </c>
      <c r="L87">
        <f t="shared" si="3"/>
        <v>0</v>
      </c>
    </row>
    <row r="88">
      <c r="A88">
        <f>Results!A87</f>
        <v>6</v>
      </c>
      <c r="B88" s="16">
        <f>Results!B87</f>
        <v>46206</v>
      </c>
      <c r="C88" s="15">
        <f>Results!C87</f>
        <v>0.875</v>
      </c>
      <c r="D88" t="str">
        <f>Results!E87</f>
        <v>Runner-up Group H</v>
      </c>
      <c r="G88" t="str">
        <f>Results!H87</f>
        <v>Runner-up Group I</v>
      </c>
      <c r="H88">
        <f t="shared" si="1"/>
        <v>0</v>
      </c>
      <c r="I88">
        <f>if(Results!I87="-",0,IF(OR(AND(H88&gt;0,Results!J87&gt;0),AND(H88&lt;0,Results!J87&lt;0),AND(H88=0,Results!J87=0)),1,0))</f>
        <v>0</v>
      </c>
      <c r="J88">
        <f>IF(K88="-",0,if(K88=Results!I87,3,0))</f>
        <v>0</v>
      </c>
      <c r="K88" t="str">
        <f t="shared" si="2"/>
        <v>-</v>
      </c>
      <c r="L88">
        <f t="shared" si="3"/>
        <v>0</v>
      </c>
    </row>
    <row r="89">
      <c r="A89">
        <f>Results!A88</f>
        <v>7</v>
      </c>
      <c r="B89" s="16">
        <f>Results!B88</f>
        <v>46207</v>
      </c>
      <c r="C89" s="15">
        <f>Results!C88</f>
        <v>0.04166666667</v>
      </c>
      <c r="D89" t="str">
        <f>Results!E88</f>
        <v>Runner-up Group L</v>
      </c>
      <c r="G89" t="str">
        <f>Results!H88</f>
        <v>Runner-up Group K</v>
      </c>
      <c r="H89">
        <f t="shared" si="1"/>
        <v>0</v>
      </c>
      <c r="I89">
        <f>if(Results!I88="-",0,IF(OR(AND(H89&gt;0,Results!J88&gt;0),AND(H89&lt;0,Results!J88&lt;0),AND(H89=0,Results!J88=0)),1,0))</f>
        <v>0</v>
      </c>
      <c r="J89">
        <f>IF(K89="-",0,if(K89=Results!I88,3,0))</f>
        <v>0</v>
      </c>
      <c r="K89" t="str">
        <f t="shared" si="2"/>
        <v>-</v>
      </c>
      <c r="L89">
        <f t="shared" si="3"/>
        <v>0</v>
      </c>
    </row>
    <row r="90">
      <c r="A90">
        <f>Results!A89</f>
        <v>7</v>
      </c>
      <c r="B90" s="16">
        <f>Results!B89</f>
        <v>46207</v>
      </c>
      <c r="C90" s="15">
        <f>Results!C89</f>
        <v>0.75</v>
      </c>
      <c r="D90" t="str">
        <f>Results!E89</f>
        <v>Winner Match 73</v>
      </c>
      <c r="G90" t="str">
        <f>Results!H89</f>
        <v>Winner Match 74</v>
      </c>
      <c r="H90">
        <f t="shared" si="1"/>
        <v>0</v>
      </c>
      <c r="I90">
        <f>if(Results!I89="-",0,IF(OR(AND(H90&gt;0,Results!J89&gt;0),AND(H90&lt;0,Results!J89&lt;0),AND(H90=0,Results!J89=0)),1,0))</f>
        <v>0</v>
      </c>
      <c r="J90">
        <f>IF(K90="-",0,if(K90=Results!I89,3,0))</f>
        <v>0</v>
      </c>
      <c r="K90" t="str">
        <f t="shared" si="2"/>
        <v>-</v>
      </c>
      <c r="L90">
        <f t="shared" si="3"/>
        <v>0</v>
      </c>
    </row>
    <row r="91">
      <c r="A91">
        <f>Results!A90</f>
        <v>7</v>
      </c>
      <c r="B91" s="16">
        <f>Results!B90</f>
        <v>46207</v>
      </c>
      <c r="C91" s="15">
        <f>Results!C90</f>
        <v>0.8958333333</v>
      </c>
      <c r="D91" t="str">
        <f>Results!E90</f>
        <v>Winner Match 75</v>
      </c>
      <c r="G91" t="str">
        <f>Results!H90</f>
        <v>Winner Match 76</v>
      </c>
      <c r="H91">
        <f t="shared" si="1"/>
        <v>0</v>
      </c>
      <c r="I91">
        <f>if(Results!I90="-",0,IF(OR(AND(H91&gt;0,Results!J90&gt;0),AND(H91&lt;0,Results!J90&lt;0),AND(H91=0,Results!J90=0)),1,0))</f>
        <v>0</v>
      </c>
      <c r="J91">
        <f>IF(K91="-",0,if(K91=Results!I90,3,0))</f>
        <v>0</v>
      </c>
      <c r="K91" t="str">
        <f t="shared" si="2"/>
        <v>-</v>
      </c>
      <c r="L91">
        <f t="shared" si="3"/>
        <v>0</v>
      </c>
    </row>
    <row r="92">
      <c r="A92">
        <f>Results!A91</f>
        <v>1</v>
      </c>
      <c r="B92" s="16">
        <f>Results!B91</f>
        <v>46208</v>
      </c>
      <c r="C92" s="15">
        <f>Results!C91</f>
        <v>0.75</v>
      </c>
      <c r="D92" t="str">
        <f>Results!E91</f>
        <v>Winner Match 77</v>
      </c>
      <c r="G92" t="str">
        <f>Results!H91</f>
        <v>Winner Match 78</v>
      </c>
      <c r="H92">
        <f t="shared" si="1"/>
        <v>0</v>
      </c>
      <c r="I92">
        <f>if(Results!I91="-",0,IF(OR(AND(H92&gt;0,Results!J91&gt;0),AND(H92&lt;0,Results!J91&lt;0),AND(H92=0,Results!J91=0)),1,0))</f>
        <v>0</v>
      </c>
      <c r="J92">
        <f>IF(K92="-",0,if(K92=Results!I91,3,0))</f>
        <v>0</v>
      </c>
      <c r="K92" t="str">
        <f t="shared" si="2"/>
        <v>-</v>
      </c>
      <c r="L92">
        <f t="shared" si="3"/>
        <v>0</v>
      </c>
    </row>
    <row r="93">
      <c r="A93">
        <f>Results!A92</f>
        <v>1</v>
      </c>
      <c r="B93" s="16">
        <f>Results!B92</f>
        <v>46208</v>
      </c>
      <c r="C93" s="15">
        <f>Results!C92</f>
        <v>0.8958333333</v>
      </c>
      <c r="D93" t="str">
        <f>Results!E92</f>
        <v>Winner Match 79</v>
      </c>
      <c r="G93" t="str">
        <f>Results!H92</f>
        <v>Winner Match 80</v>
      </c>
      <c r="H93">
        <f t="shared" si="1"/>
        <v>0</v>
      </c>
      <c r="I93">
        <f>if(Results!I92="-",0,IF(OR(AND(H93&gt;0,Results!J92&gt;0),AND(H93&lt;0,Results!J92&lt;0),AND(H93=0,Results!J92=0)),1,0))</f>
        <v>0</v>
      </c>
      <c r="J93">
        <f>IF(K93="-",0,if(K93=Results!I92,3,0))</f>
        <v>0</v>
      </c>
      <c r="K93" t="str">
        <f t="shared" si="2"/>
        <v>-</v>
      </c>
      <c r="L93">
        <f t="shared" si="3"/>
        <v>0</v>
      </c>
    </row>
    <row r="94">
      <c r="A94">
        <f>Results!A93</f>
        <v>2</v>
      </c>
      <c r="B94" s="16">
        <f>Results!B93</f>
        <v>46209</v>
      </c>
      <c r="C94" s="15">
        <f>Results!C93</f>
        <v>0.75</v>
      </c>
      <c r="D94" t="str">
        <f>Results!E93</f>
        <v>Winner Match 81</v>
      </c>
      <c r="G94" t="str">
        <f>Results!H93</f>
        <v>Winner Match 82</v>
      </c>
      <c r="H94">
        <f t="shared" si="1"/>
        <v>0</v>
      </c>
      <c r="I94">
        <f>if(Results!I93="-",0,IF(OR(AND(H94&gt;0,Results!J93&gt;0),AND(H94&lt;0,Results!J93&lt;0),AND(H94=0,Results!J93=0)),1,0))</f>
        <v>0</v>
      </c>
      <c r="J94">
        <f>IF(K94="-",0,if(K94=Results!I93,3,0))</f>
        <v>0</v>
      </c>
      <c r="K94" t="str">
        <f t="shared" si="2"/>
        <v>-</v>
      </c>
      <c r="L94">
        <f t="shared" si="3"/>
        <v>0</v>
      </c>
    </row>
    <row r="95">
      <c r="A95">
        <f>Results!A94</f>
        <v>2</v>
      </c>
      <c r="B95" s="16">
        <f>Results!B94</f>
        <v>46209</v>
      </c>
      <c r="C95" s="15">
        <f>Results!C94</f>
        <v>0.8958333333</v>
      </c>
      <c r="D95" t="str">
        <f>Results!E94</f>
        <v>Winner Match 83</v>
      </c>
      <c r="G95" t="str">
        <f>Results!H94</f>
        <v>Winner Match 84</v>
      </c>
      <c r="H95">
        <f t="shared" si="1"/>
        <v>0</v>
      </c>
      <c r="I95">
        <f>if(Results!I94="-",0,IF(OR(AND(H95&gt;0,Results!J94&gt;0),AND(H95&lt;0,Results!J94&lt;0),AND(H95=0,Results!J94=0)),1,0))</f>
        <v>0</v>
      </c>
      <c r="J95">
        <f>IF(K95="-",0,if(K95=Results!I94,3,0))</f>
        <v>0</v>
      </c>
      <c r="K95" t="str">
        <f t="shared" si="2"/>
        <v>-</v>
      </c>
      <c r="L95">
        <f t="shared" si="3"/>
        <v>0</v>
      </c>
    </row>
    <row r="96">
      <c r="A96">
        <f>Results!A95</f>
        <v>3</v>
      </c>
      <c r="B96" s="16">
        <f>Results!B95</f>
        <v>46210</v>
      </c>
      <c r="C96" s="15">
        <f>Results!C95</f>
        <v>0.75</v>
      </c>
      <c r="D96" t="str">
        <f>Results!E95</f>
        <v>Winner Match 85</v>
      </c>
      <c r="G96" t="str">
        <f>Results!H95</f>
        <v>Winner Match 86</v>
      </c>
      <c r="H96">
        <f t="shared" si="1"/>
        <v>0</v>
      </c>
      <c r="I96">
        <f>if(Results!I95="-",0,IF(OR(AND(H96&gt;0,Results!J95&gt;0),AND(H96&lt;0,Results!J95&lt;0),AND(H96=0,Results!J95=0)),1,0))</f>
        <v>0</v>
      </c>
      <c r="J96">
        <f>IF(K96="-",0,if(K96=Results!I95,3,0))</f>
        <v>0</v>
      </c>
      <c r="K96" t="str">
        <f t="shared" si="2"/>
        <v>-</v>
      </c>
      <c r="L96">
        <f t="shared" si="3"/>
        <v>0</v>
      </c>
    </row>
    <row r="97">
      <c r="A97">
        <f>Results!A96</f>
        <v>3</v>
      </c>
      <c r="B97" s="16">
        <f>Results!B96</f>
        <v>46210</v>
      </c>
      <c r="C97" s="15">
        <f>Results!C96</f>
        <v>0.8958333333</v>
      </c>
      <c r="D97" t="str">
        <f>Results!E96</f>
        <v>Winner Match 87</v>
      </c>
      <c r="G97" t="str">
        <f>Results!H96</f>
        <v>Winner Match 88</v>
      </c>
      <c r="H97">
        <f t="shared" si="1"/>
        <v>0</v>
      </c>
      <c r="I97">
        <f>if(Results!I96="-",0,IF(OR(AND(H97&gt;0,Results!J96&gt;0),AND(H97&lt;0,Results!J96&lt;0),AND(H97=0,Results!J96=0)),1,0))</f>
        <v>0</v>
      </c>
      <c r="J97">
        <f>IF(K97="-",0,if(K97=Results!I96,3,0))</f>
        <v>0</v>
      </c>
      <c r="K97" t="str">
        <f t="shared" si="2"/>
        <v>-</v>
      </c>
      <c r="L97">
        <f t="shared" si="3"/>
        <v>0</v>
      </c>
    </row>
    <row r="98">
      <c r="A98">
        <f>Results!A97</f>
        <v>5</v>
      </c>
      <c r="B98" s="16">
        <f>Results!B97</f>
        <v>46212</v>
      </c>
      <c r="C98" s="15">
        <f>Results!C97</f>
        <v>0.8333333333</v>
      </c>
      <c r="D98" t="str">
        <f>Results!E97</f>
        <v>Winner Match 89</v>
      </c>
      <c r="G98" t="str">
        <f>Results!H97</f>
        <v>Winner Match 90</v>
      </c>
      <c r="H98">
        <f t="shared" si="1"/>
        <v>0</v>
      </c>
      <c r="I98">
        <f>if(Results!I97="-",0,IF(OR(AND(H98&gt;0,Results!J97&gt;0),AND(H98&lt;0,Results!J97&lt;0),AND(H98=0,Results!J97=0)),1,0))</f>
        <v>0</v>
      </c>
      <c r="J98">
        <f>IF(K98="-",0,if(K98=Results!I97,3,0))</f>
        <v>0</v>
      </c>
      <c r="K98" t="str">
        <f t="shared" si="2"/>
        <v>-</v>
      </c>
      <c r="L98">
        <f t="shared" si="3"/>
        <v>0</v>
      </c>
    </row>
    <row r="99">
      <c r="A99">
        <f>Results!A98</f>
        <v>6</v>
      </c>
      <c r="B99" s="14">
        <f>Results!B98</f>
        <v>46213</v>
      </c>
      <c r="C99" s="15">
        <f>Results!C98</f>
        <v>0.8333333333</v>
      </c>
      <c r="D99" t="str">
        <f>Results!E98</f>
        <v>Winner Match 91</v>
      </c>
      <c r="G99" t="str">
        <f>Results!H98</f>
        <v>Winner Match 92</v>
      </c>
      <c r="H99">
        <f t="shared" si="1"/>
        <v>0</v>
      </c>
      <c r="I99">
        <f>if(Results!I98="-",0,IF(OR(AND(H99&gt;0,Results!J98&gt;0),AND(H99&lt;0,Results!J98&lt;0),AND(H99=0,Results!J98=0)),1,0))</f>
        <v>0</v>
      </c>
      <c r="J99">
        <f>IF(K99="-",0,if(K99=Results!I98,3,0))</f>
        <v>0</v>
      </c>
      <c r="K99" t="str">
        <f t="shared" si="2"/>
        <v>-</v>
      </c>
      <c r="L99">
        <f t="shared" si="3"/>
        <v>0</v>
      </c>
    </row>
    <row r="100">
      <c r="A100">
        <f>Results!A99</f>
        <v>7</v>
      </c>
      <c r="B100" s="14">
        <f>Results!B99</f>
        <v>46214</v>
      </c>
      <c r="C100" s="15">
        <f>Results!C99</f>
        <v>0.75</v>
      </c>
      <c r="D100" t="str">
        <f>Results!E99</f>
        <v>Winner Match 93</v>
      </c>
      <c r="G100" t="str">
        <f>Results!H99</f>
        <v>Winner Match 94</v>
      </c>
      <c r="H100">
        <f t="shared" si="1"/>
        <v>0</v>
      </c>
      <c r="I100">
        <f>if(Results!I99="-",0,IF(OR(AND(H100&gt;0,Results!J99&gt;0),AND(H100&lt;0,Results!J99&lt;0),AND(H100=0,Results!J99=0)),1,0))</f>
        <v>0</v>
      </c>
      <c r="J100">
        <f>IF(K100="-",0,if(K100=Results!I99,3,0))</f>
        <v>0</v>
      </c>
      <c r="K100" t="str">
        <f t="shared" si="2"/>
        <v>-</v>
      </c>
      <c r="L100">
        <f t="shared" si="3"/>
        <v>0</v>
      </c>
    </row>
    <row r="101">
      <c r="A101">
        <f>Results!A100</f>
        <v>7</v>
      </c>
      <c r="B101" s="14">
        <f>Results!B100</f>
        <v>46214</v>
      </c>
      <c r="C101" s="15">
        <f>Results!C100</f>
        <v>0.8958333333</v>
      </c>
      <c r="D101" t="str">
        <f>Results!E100</f>
        <v>Winner Match 95</v>
      </c>
      <c r="G101" t="str">
        <f>Results!H100</f>
        <v>Winner Match 96</v>
      </c>
      <c r="H101">
        <f t="shared" si="1"/>
        <v>0</v>
      </c>
      <c r="I101">
        <f>if(Results!I100="-",0,IF(OR(AND(H101&gt;0,Results!J100&gt;0),AND(H101&lt;0,Results!J100&lt;0),AND(H101=0,Results!J100=0)),1,0))</f>
        <v>0</v>
      </c>
      <c r="J101">
        <f>IF(K101="-",0,if(K101=Results!I100,3,0))</f>
        <v>0</v>
      </c>
      <c r="K101" t="str">
        <f t="shared" si="2"/>
        <v>-</v>
      </c>
      <c r="L101">
        <f t="shared" si="3"/>
        <v>0</v>
      </c>
    </row>
    <row r="102">
      <c r="A102">
        <f>Results!A101</f>
        <v>3</v>
      </c>
      <c r="B102" s="14">
        <f>Results!B101</f>
        <v>46217</v>
      </c>
      <c r="C102" s="15">
        <f>Results!C101</f>
        <v>0.8333333333</v>
      </c>
      <c r="D102" t="str">
        <f>Results!E101</f>
        <v>Winner Match 97</v>
      </c>
      <c r="G102" t="str">
        <f>Results!H101</f>
        <v>Winner Match 98</v>
      </c>
      <c r="H102">
        <f t="shared" si="1"/>
        <v>0</v>
      </c>
      <c r="I102">
        <f>if(Results!I101="-",0,IF(OR(AND(H102&gt;0,Results!J101&gt;0),AND(H102&lt;0,Results!J101&lt;0),AND(H102=0,Results!J101=0)),1,0))</f>
        <v>0</v>
      </c>
      <c r="J102">
        <f>IF(K102="-",0,if(K102=Results!I101,3,0))</f>
        <v>0</v>
      </c>
      <c r="K102" t="str">
        <f t="shared" si="2"/>
        <v>-</v>
      </c>
      <c r="L102">
        <f t="shared" si="3"/>
        <v>0</v>
      </c>
    </row>
    <row r="103">
      <c r="A103">
        <f>Results!A102</f>
        <v>4</v>
      </c>
      <c r="B103" s="14">
        <f>Results!B102</f>
        <v>46218</v>
      </c>
      <c r="C103" s="15">
        <f>Results!C102</f>
        <v>0.8333333333</v>
      </c>
      <c r="D103" t="str">
        <f>Results!E102</f>
        <v>Winner Match 99</v>
      </c>
      <c r="G103" t="str">
        <f>Results!H102</f>
        <v>Winner Match 100</v>
      </c>
      <c r="H103">
        <f t="shared" si="1"/>
        <v>0</v>
      </c>
      <c r="I103">
        <f>if(Results!I102="-",0,IF(OR(AND(H103&gt;0,Results!J102&gt;0),AND(H103&lt;0,Results!J102&lt;0),AND(H103=0,Results!J102=0)),1,0))</f>
        <v>0</v>
      </c>
      <c r="J103">
        <f>IF(K103="-",0,if(K103=Results!I102,3,0))</f>
        <v>0</v>
      </c>
      <c r="K103" t="str">
        <f t="shared" si="2"/>
        <v>-</v>
      </c>
      <c r="L103">
        <f t="shared" si="3"/>
        <v>0</v>
      </c>
    </row>
    <row r="104">
      <c r="A104">
        <f>Results!A103</f>
        <v>7</v>
      </c>
      <c r="B104" s="14">
        <f>Results!B103</f>
        <v>46221</v>
      </c>
      <c r="C104" s="15">
        <f>Results!C103</f>
        <v>0.8333333333</v>
      </c>
      <c r="D104" t="str">
        <f>Results!E103</f>
        <v>Loser Match 101</v>
      </c>
      <c r="G104" t="str">
        <f>Results!H103</f>
        <v>Loser Match 102</v>
      </c>
      <c r="H104">
        <f t="shared" si="1"/>
        <v>0</v>
      </c>
      <c r="I104">
        <f>if(Results!I103="-",0,IF(OR(AND(H104&gt;0,Results!J103&gt;0),AND(H104&lt;0,Results!J103&lt;0),AND(H104=0,Results!J103=0)),1,0))</f>
        <v>0</v>
      </c>
      <c r="J104">
        <f>IF(K104="-",0,if(K104=Results!I103,3,0))</f>
        <v>0</v>
      </c>
      <c r="K104" t="str">
        <f t="shared" si="2"/>
        <v>-</v>
      </c>
      <c r="L104">
        <f t="shared" si="3"/>
        <v>0</v>
      </c>
    </row>
    <row r="105">
      <c r="A105">
        <f>Results!A104</f>
        <v>1</v>
      </c>
      <c r="B105" s="14">
        <f>Results!B104</f>
        <v>46222</v>
      </c>
      <c r="C105" s="15">
        <f>Results!C104</f>
        <v>0.8333333333</v>
      </c>
      <c r="D105" t="str">
        <f>Results!E104</f>
        <v>Winner Match 101</v>
      </c>
      <c r="G105" t="str">
        <f>Results!H104</f>
        <v>Winner Match 102</v>
      </c>
      <c r="H105">
        <f t="shared" si="1"/>
        <v>0</v>
      </c>
      <c r="I105">
        <f>if(Results!I104="-",0,IF(OR(AND(H105&gt;0,Results!J104&gt;0),AND(H105&lt;0,Results!J104&lt;0),AND(H105=0,Results!J104=0)),1,0))</f>
        <v>0</v>
      </c>
      <c r="J105">
        <f>IF(K105="-",0,if(K105=Results!I104,3,0))</f>
        <v>0</v>
      </c>
      <c r="K105" t="str">
        <f t="shared" si="2"/>
        <v>-</v>
      </c>
      <c r="L105">
        <f t="shared" si="3"/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9"/>
      <c r="F1" s="9"/>
    </row>
    <row r="2">
      <c r="A2">
        <f>Results!A1</f>
        <v>5</v>
      </c>
      <c r="B2" s="14">
        <f>Results!B1</f>
        <v>46184</v>
      </c>
      <c r="C2" s="15">
        <f>Results!C1</f>
        <v>0.8333333333</v>
      </c>
      <c r="D2" t="str">
        <f>Results!E1</f>
        <v>Mexico</v>
      </c>
      <c r="E2" s="9">
        <v>1.0</v>
      </c>
      <c r="F2" s="9">
        <v>0.0</v>
      </c>
      <c r="G2" t="str">
        <f>Results!H1</f>
        <v>South Africa</v>
      </c>
      <c r="H2">
        <f t="shared" ref="H2:H105" si="1">E2-F2</f>
        <v>1</v>
      </c>
      <c r="I2">
        <f>if(Results!I1="-",0,IF(OR(AND(H2&gt;0,Results!J1&gt;0),AND(H2&lt;0,Results!J1&lt;0),AND(H2=0,Results!J1=0)),1,0))</f>
        <v>1</v>
      </c>
      <c r="J2">
        <f>IF(K2="-",0,if(K2=Results!I1,3,0))</f>
        <v>0</v>
      </c>
      <c r="K2" t="str">
        <f t="shared" ref="K2:K105" si="2">E2&amp;"-"&amp;F2</f>
        <v>1-0</v>
      </c>
      <c r="L2">
        <f t="shared" ref="L2:L105" si="3">MAX(I2,J2)</f>
        <v>1</v>
      </c>
    </row>
    <row r="3">
      <c r="A3">
        <f>Results!A2</f>
        <v>6</v>
      </c>
      <c r="B3" s="14">
        <f>Results!B2</f>
        <v>46185</v>
      </c>
      <c r="C3" s="15">
        <f>Results!C2</f>
        <v>0.125</v>
      </c>
      <c r="D3" t="str">
        <f>Results!E2</f>
        <v>South Korea</v>
      </c>
      <c r="E3" s="9">
        <v>0.0</v>
      </c>
      <c r="F3" s="9">
        <v>1.0</v>
      </c>
      <c r="G3" t="str">
        <f>Results!H2</f>
        <v>Czech Republic</v>
      </c>
      <c r="H3">
        <f t="shared" si="1"/>
        <v>-1</v>
      </c>
      <c r="I3">
        <f>if(Results!I2="-",0,IF(OR(AND(H3&gt;0,Results!J2&gt;0),AND(H3&lt;0,Results!J2&lt;0),AND(H3=0,Results!J2=0)),1,0))</f>
        <v>0</v>
      </c>
      <c r="J3">
        <f>IF(K3="-",0,if(K3=Results!I2,3,0))</f>
        <v>0</v>
      </c>
      <c r="K3" t="str">
        <f t="shared" si="2"/>
        <v>0-1</v>
      </c>
      <c r="L3">
        <f t="shared" si="3"/>
        <v>0</v>
      </c>
    </row>
    <row r="4">
      <c r="A4">
        <f>Results!A3</f>
        <v>6</v>
      </c>
      <c r="B4" s="14">
        <f>Results!B3</f>
        <v>46185</v>
      </c>
      <c r="C4" s="15">
        <f>Results!C3</f>
        <v>0.8333333333</v>
      </c>
      <c r="D4" t="str">
        <f>Results!E3</f>
        <v>Canada</v>
      </c>
      <c r="E4" s="9">
        <v>0.0</v>
      </c>
      <c r="F4" s="9">
        <v>0.0</v>
      </c>
      <c r="G4" t="str">
        <f>Results!H3</f>
        <v>Bosnia and Herzegovina</v>
      </c>
      <c r="H4">
        <f t="shared" si="1"/>
        <v>0</v>
      </c>
      <c r="I4">
        <f>if(Results!I3="-",0,IF(OR(AND(H4&gt;0,Results!J3&gt;0),AND(H4&lt;0,Results!J3&lt;0),AND(H4=0,Results!J3=0)),1,0))</f>
        <v>1</v>
      </c>
      <c r="J4">
        <f>IF(K4="-",0,if(K4=Results!I3,3,0))</f>
        <v>0</v>
      </c>
      <c r="K4" t="str">
        <f t="shared" si="2"/>
        <v>0-0</v>
      </c>
      <c r="L4">
        <f t="shared" si="3"/>
        <v>1</v>
      </c>
    </row>
    <row r="5">
      <c r="A5">
        <f>Results!A4</f>
        <v>7</v>
      </c>
      <c r="B5" s="14">
        <f>Results!B4</f>
        <v>46186</v>
      </c>
      <c r="C5" s="15">
        <f>Results!C4</f>
        <v>0.08333333333</v>
      </c>
      <c r="D5" t="str">
        <f>Results!E4</f>
        <v>USA</v>
      </c>
      <c r="E5" s="9">
        <v>2.0</v>
      </c>
      <c r="F5" s="9">
        <v>1.0</v>
      </c>
      <c r="G5" t="str">
        <f>Results!H4</f>
        <v>Paraguay</v>
      </c>
      <c r="H5">
        <f t="shared" si="1"/>
        <v>1</v>
      </c>
      <c r="I5">
        <f>if(Results!I4="-",0,IF(OR(AND(H5&gt;0,Results!J4&gt;0),AND(H5&lt;0,Results!J4&lt;0),AND(H5=0,Results!J4=0)),1,0))</f>
        <v>1</v>
      </c>
      <c r="J5">
        <f>IF(K5="-",0,if(K5=Results!I4,3,0))</f>
        <v>0</v>
      </c>
      <c r="K5" t="str">
        <f t="shared" si="2"/>
        <v>2-1</v>
      </c>
      <c r="L5">
        <f t="shared" si="3"/>
        <v>1</v>
      </c>
    </row>
    <row r="6">
      <c r="A6">
        <f>Results!A5</f>
        <v>7</v>
      </c>
      <c r="B6" s="14">
        <f>Results!B5</f>
        <v>46186</v>
      </c>
      <c r="C6" s="15">
        <f>Results!C5</f>
        <v>0.8333333333</v>
      </c>
      <c r="D6" t="str">
        <f>Results!E5</f>
        <v>Qatar</v>
      </c>
      <c r="E6" s="9">
        <v>0.0</v>
      </c>
      <c r="F6" s="9">
        <v>3.0</v>
      </c>
      <c r="G6" t="str">
        <f>Results!H5</f>
        <v>Switzerland</v>
      </c>
      <c r="H6">
        <f t="shared" si="1"/>
        <v>-3</v>
      </c>
      <c r="I6">
        <f>if(Results!I5="-",0,IF(OR(AND(H6&gt;0,Results!J5&gt;0),AND(H6&lt;0,Results!J5&lt;0),AND(H6=0,Results!J5=0)),1,0))</f>
        <v>0</v>
      </c>
      <c r="J6">
        <f>IF(K6="-",0,if(K6=Results!I5,3,0))</f>
        <v>0</v>
      </c>
      <c r="K6" t="str">
        <f t="shared" si="2"/>
        <v>0-3</v>
      </c>
      <c r="L6">
        <f t="shared" si="3"/>
        <v>0</v>
      </c>
    </row>
    <row r="7">
      <c r="A7">
        <f>Results!A6</f>
        <v>7</v>
      </c>
      <c r="B7" s="14">
        <f>Results!B6</f>
        <v>46186</v>
      </c>
      <c r="C7" s="15">
        <f>Results!C6</f>
        <v>0.9583333333</v>
      </c>
      <c r="D7" t="str">
        <f>Results!E6</f>
        <v>Brazil</v>
      </c>
      <c r="E7" s="9">
        <v>3.0</v>
      </c>
      <c r="F7" s="9">
        <v>1.0</v>
      </c>
      <c r="G7" t="str">
        <f>Results!H6</f>
        <v>Morocco</v>
      </c>
      <c r="H7">
        <f t="shared" si="1"/>
        <v>2</v>
      </c>
      <c r="I7">
        <f>if(Results!I6="-",0,IF(OR(AND(H7&gt;0,Results!J6&gt;0),AND(H7&lt;0,Results!J6&lt;0),AND(H7=0,Results!J6=0)),1,0))</f>
        <v>0</v>
      </c>
      <c r="J7">
        <f>IF(K7="-",0,if(K7=Results!I6,3,0))</f>
        <v>0</v>
      </c>
      <c r="K7" t="str">
        <f t="shared" si="2"/>
        <v>3-1</v>
      </c>
      <c r="L7">
        <f t="shared" si="3"/>
        <v>0</v>
      </c>
    </row>
    <row r="8">
      <c r="A8">
        <f>Results!A7</f>
        <v>1</v>
      </c>
      <c r="B8" s="14">
        <f>Results!B7</f>
        <v>46187</v>
      </c>
      <c r="C8" s="15">
        <f>Results!C7</f>
        <v>0.08333333333</v>
      </c>
      <c r="D8" t="str">
        <f>Results!E7</f>
        <v>Haiti</v>
      </c>
      <c r="E8" s="9">
        <v>0.0</v>
      </c>
      <c r="F8" s="9">
        <v>2.0</v>
      </c>
      <c r="G8" t="str">
        <f>Results!H7</f>
        <v>Scotland</v>
      </c>
      <c r="H8">
        <f t="shared" si="1"/>
        <v>-2</v>
      </c>
      <c r="I8">
        <f>if(Results!I7="-",0,IF(OR(AND(H8&gt;0,Results!J7&gt;0),AND(H8&lt;0,Results!J7&lt;0),AND(H8=0,Results!J7=0)),1,0))</f>
        <v>1</v>
      </c>
      <c r="J8">
        <f>IF(K8="-",0,if(K8=Results!I7,3,0))</f>
        <v>0</v>
      </c>
      <c r="K8" t="str">
        <f t="shared" si="2"/>
        <v>0-2</v>
      </c>
      <c r="L8">
        <f t="shared" si="3"/>
        <v>1</v>
      </c>
    </row>
    <row r="9">
      <c r="A9">
        <f>Results!A8</f>
        <v>1</v>
      </c>
      <c r="B9" s="14">
        <f>Results!B8</f>
        <v>46187</v>
      </c>
      <c r="C9" s="15">
        <f>Results!C8</f>
        <v>0.2083333333</v>
      </c>
      <c r="D9" t="str">
        <f>Results!E8</f>
        <v>Australia</v>
      </c>
      <c r="E9" s="9">
        <v>1.0</v>
      </c>
      <c r="F9" s="9">
        <v>2.0</v>
      </c>
      <c r="G9" t="str">
        <f>Results!H8</f>
        <v>Türkiye</v>
      </c>
      <c r="H9">
        <f t="shared" si="1"/>
        <v>-1</v>
      </c>
      <c r="I9">
        <f>if(Results!I8="-",0,IF(OR(AND(H9&gt;0,Results!J8&gt;0),AND(H9&lt;0,Results!J8&lt;0),AND(H9=0,Results!J8=0)),1,0))</f>
        <v>0</v>
      </c>
      <c r="J9">
        <f>IF(K9="-",0,if(K9=Results!I8,3,0))</f>
        <v>0</v>
      </c>
      <c r="K9" t="str">
        <f t="shared" si="2"/>
        <v>1-2</v>
      </c>
      <c r="L9">
        <f t="shared" si="3"/>
        <v>0</v>
      </c>
    </row>
    <row r="10">
      <c r="A10">
        <f>Results!A9</f>
        <v>1</v>
      </c>
      <c r="B10" s="14">
        <f>Results!B9</f>
        <v>46187</v>
      </c>
      <c r="C10" s="15">
        <f>Results!C9</f>
        <v>0.75</v>
      </c>
      <c r="D10" t="str">
        <f>Results!E9</f>
        <v>Germany</v>
      </c>
      <c r="E10" s="9">
        <v>2.0</v>
      </c>
      <c r="F10" s="9">
        <v>0.0</v>
      </c>
      <c r="G10" t="str">
        <f>Results!H9</f>
        <v>Curaçao</v>
      </c>
      <c r="H10">
        <f t="shared" si="1"/>
        <v>2</v>
      </c>
      <c r="I10">
        <f>if(Results!I9="-",0,IF(OR(AND(H10&gt;0,Results!J9&gt;0),AND(H10&lt;0,Results!J9&lt;0),AND(H10=0,Results!J9=0)),1,0))</f>
        <v>1</v>
      </c>
      <c r="J10">
        <f>IF(K10="-",0,if(K10=Results!I9,3,0))</f>
        <v>0</v>
      </c>
      <c r="K10" t="str">
        <f t="shared" si="2"/>
        <v>2-0</v>
      </c>
      <c r="L10">
        <f t="shared" si="3"/>
        <v>1</v>
      </c>
    </row>
    <row r="11">
      <c r="A11">
        <f>Results!A10</f>
        <v>1</v>
      </c>
      <c r="B11" s="14">
        <f>Results!B10</f>
        <v>46187</v>
      </c>
      <c r="C11" s="15">
        <f>Results!C10</f>
        <v>0.875</v>
      </c>
      <c r="D11" t="str">
        <f>Results!E10</f>
        <v>Netherlands</v>
      </c>
      <c r="E11" s="9">
        <v>1.0</v>
      </c>
      <c r="F11" s="9">
        <v>1.0</v>
      </c>
      <c r="G11" t="str">
        <f>Results!H10</f>
        <v>Japan</v>
      </c>
      <c r="H11">
        <f t="shared" si="1"/>
        <v>0</v>
      </c>
      <c r="I11">
        <f>if(Results!I10="-",0,IF(OR(AND(H11&gt;0,Results!J10&gt;0),AND(H11&lt;0,Results!J10&lt;0),AND(H11=0,Results!J10=0)),1,0))</f>
        <v>1</v>
      </c>
      <c r="J11">
        <f>IF(K11="-",0,if(K11=Results!I10,3,0))</f>
        <v>0</v>
      </c>
      <c r="K11" t="str">
        <f t="shared" si="2"/>
        <v>1-1</v>
      </c>
      <c r="L11">
        <f t="shared" si="3"/>
        <v>1</v>
      </c>
    </row>
    <row r="12">
      <c r="A12">
        <f>Results!A11</f>
        <v>2</v>
      </c>
      <c r="B12" s="14">
        <f>Results!B11</f>
        <v>46188</v>
      </c>
      <c r="C12" s="15">
        <f>Results!C11</f>
        <v>0</v>
      </c>
      <c r="D12" t="str">
        <f>Results!E11</f>
        <v>Ivory Coast</v>
      </c>
      <c r="E12" s="9">
        <v>2.0</v>
      </c>
      <c r="F12" s="9">
        <v>2.0</v>
      </c>
      <c r="G12" t="str">
        <f>Results!H11</f>
        <v>Ecuador</v>
      </c>
      <c r="H12">
        <f t="shared" si="1"/>
        <v>0</v>
      </c>
      <c r="I12">
        <f>if(Results!I11="-",0,IF(OR(AND(H12&gt;0,Results!J11&gt;0),AND(H12&lt;0,Results!J11&lt;0),AND(H12=0,Results!J11=0)),1,0))</f>
        <v>0</v>
      </c>
      <c r="J12">
        <f>IF(K12="-",0,if(K12=Results!I11,3,0))</f>
        <v>0</v>
      </c>
      <c r="K12" t="str">
        <f t="shared" si="2"/>
        <v>2-2</v>
      </c>
      <c r="L12">
        <f t="shared" si="3"/>
        <v>0</v>
      </c>
    </row>
    <row r="13">
      <c r="A13">
        <f>Results!A12</f>
        <v>2</v>
      </c>
      <c r="B13" s="14">
        <f>Results!B12</f>
        <v>46188</v>
      </c>
      <c r="C13" s="15">
        <f>Results!C12</f>
        <v>0.125</v>
      </c>
      <c r="D13" t="str">
        <f>Results!E12</f>
        <v>Sweden</v>
      </c>
      <c r="E13" s="9">
        <v>1.0</v>
      </c>
      <c r="F13" s="9">
        <v>1.0</v>
      </c>
      <c r="G13" t="str">
        <f>Results!H12</f>
        <v>Tunisia</v>
      </c>
      <c r="H13">
        <f t="shared" si="1"/>
        <v>0</v>
      </c>
      <c r="I13">
        <f>if(Results!I12="-",0,IF(OR(AND(H13&gt;0,Results!J12&gt;0),AND(H13&lt;0,Results!J12&lt;0),AND(H13=0,Results!J12=0)),1,0))</f>
        <v>0</v>
      </c>
      <c r="J13">
        <f>IF(K13="-",0,if(K13=Results!I12,3,0))</f>
        <v>0</v>
      </c>
      <c r="K13" t="str">
        <f t="shared" si="2"/>
        <v>1-1</v>
      </c>
      <c r="L13">
        <f t="shared" si="3"/>
        <v>0</v>
      </c>
    </row>
    <row r="14">
      <c r="A14">
        <f>Results!A13</f>
        <v>2</v>
      </c>
      <c r="B14" s="14">
        <f>Results!B13</f>
        <v>46188</v>
      </c>
      <c r="C14" s="15">
        <f>Results!C13</f>
        <v>0.7083333333</v>
      </c>
      <c r="D14" t="str">
        <f>Results!E13</f>
        <v>Spain</v>
      </c>
      <c r="E14" s="9">
        <v>5.0</v>
      </c>
      <c r="F14" s="9">
        <v>1.0</v>
      </c>
      <c r="G14" t="str">
        <f>Results!H13</f>
        <v>Cape Verde</v>
      </c>
      <c r="H14">
        <f t="shared" si="1"/>
        <v>4</v>
      </c>
      <c r="I14">
        <f>if(Results!I13="-",0,IF(OR(AND(H14&gt;0,Results!J13&gt;0),AND(H14&lt;0,Results!J13&lt;0),AND(H14=0,Results!J13=0)),1,0))</f>
        <v>0</v>
      </c>
      <c r="J14">
        <f>IF(K14="-",0,if(K14=Results!I13,3,0))</f>
        <v>0</v>
      </c>
      <c r="K14" t="str">
        <f t="shared" si="2"/>
        <v>5-1</v>
      </c>
      <c r="L14">
        <f t="shared" si="3"/>
        <v>0</v>
      </c>
    </row>
    <row r="15">
      <c r="A15">
        <f>Results!A14</f>
        <v>2</v>
      </c>
      <c r="B15" s="14">
        <f>Results!B14</f>
        <v>46188</v>
      </c>
      <c r="C15" s="15">
        <f>Results!C14</f>
        <v>0.8333333333</v>
      </c>
      <c r="D15" t="str">
        <f>Results!E14</f>
        <v>Belgium</v>
      </c>
      <c r="E15" s="9">
        <v>1.0</v>
      </c>
      <c r="F15" s="9">
        <v>1.0</v>
      </c>
      <c r="G15" t="str">
        <f>Results!H14</f>
        <v>Egypt</v>
      </c>
      <c r="H15">
        <f t="shared" si="1"/>
        <v>0</v>
      </c>
      <c r="I15">
        <f>if(Results!I14="-",0,IF(OR(AND(H15&gt;0,Results!J14&gt;0),AND(H15&lt;0,Results!J14&lt;0),AND(H15=0,Results!J14=0)),1,0))</f>
        <v>1</v>
      </c>
      <c r="J15">
        <f>IF(K15="-",0,if(K15=Results!I14,3,0))</f>
        <v>3</v>
      </c>
      <c r="K15" t="str">
        <f t="shared" si="2"/>
        <v>1-1</v>
      </c>
      <c r="L15">
        <f t="shared" si="3"/>
        <v>3</v>
      </c>
    </row>
    <row r="16">
      <c r="A16">
        <f>Results!A15</f>
        <v>2</v>
      </c>
      <c r="B16" s="14">
        <f>Results!B15</f>
        <v>46188</v>
      </c>
      <c r="C16" s="15">
        <f>Results!C15</f>
        <v>0.9583333333</v>
      </c>
      <c r="D16" t="str">
        <f>Results!E15</f>
        <v>Saudi Arabia</v>
      </c>
      <c r="E16" s="9">
        <v>0.0</v>
      </c>
      <c r="F16" s="9">
        <v>2.0</v>
      </c>
      <c r="G16" t="str">
        <f>Results!H15</f>
        <v>Uruguay</v>
      </c>
      <c r="H16">
        <f t="shared" si="1"/>
        <v>-2</v>
      </c>
      <c r="I16">
        <f>if(Results!I15="-",0,IF(OR(AND(H16&gt;0,Results!J15&gt;0),AND(H16&lt;0,Results!J15&lt;0),AND(H16=0,Results!J15=0)),1,0))</f>
        <v>0</v>
      </c>
      <c r="J16">
        <f>IF(K16="-",0,if(K16=Results!I15,3,0))</f>
        <v>0</v>
      </c>
      <c r="K16" t="str">
        <f t="shared" si="2"/>
        <v>0-2</v>
      </c>
      <c r="L16">
        <f t="shared" si="3"/>
        <v>0</v>
      </c>
    </row>
    <row r="17">
      <c r="A17">
        <f>Results!A16</f>
        <v>3</v>
      </c>
      <c r="B17" s="14">
        <f>Results!B16</f>
        <v>46189</v>
      </c>
      <c r="C17" s="15">
        <f>Results!C16</f>
        <v>0.08333333333</v>
      </c>
      <c r="D17" t="str">
        <f>Results!E16</f>
        <v>Iran</v>
      </c>
      <c r="E17" s="9">
        <v>1.0</v>
      </c>
      <c r="F17" s="9">
        <v>1.0</v>
      </c>
      <c r="G17" t="str">
        <f>Results!H16</f>
        <v>New Zealand</v>
      </c>
      <c r="H17">
        <f t="shared" si="1"/>
        <v>0</v>
      </c>
      <c r="I17">
        <f>if(Results!I16="-",0,IF(OR(AND(H17&gt;0,Results!J16&gt;0),AND(H17&lt;0,Results!J16&lt;0),AND(H17=0,Results!J16=0)),1,0))</f>
        <v>1</v>
      </c>
      <c r="J17">
        <f>IF(K17="-",0,if(K17=Results!I16,3,0))</f>
        <v>0</v>
      </c>
      <c r="K17" t="str">
        <f t="shared" si="2"/>
        <v>1-1</v>
      </c>
      <c r="L17">
        <f t="shared" si="3"/>
        <v>1</v>
      </c>
    </row>
    <row r="18">
      <c r="A18">
        <f>Results!A17</f>
        <v>3</v>
      </c>
      <c r="B18" s="14">
        <f>Results!B17</f>
        <v>46189</v>
      </c>
      <c r="C18" s="15">
        <f>Results!C17</f>
        <v>0.8333333333</v>
      </c>
      <c r="D18" t="str">
        <f>Results!E17</f>
        <v>France</v>
      </c>
      <c r="E18" s="9">
        <v>3.0</v>
      </c>
      <c r="F18" s="9">
        <v>1.0</v>
      </c>
      <c r="G18" t="str">
        <f>Results!H17</f>
        <v>Senegal</v>
      </c>
      <c r="H18">
        <f t="shared" si="1"/>
        <v>2</v>
      </c>
      <c r="I18">
        <f>if(Results!I17="-",0,IF(OR(AND(H18&gt;0,Results!J17&gt;0),AND(H18&lt;0,Results!J17&lt;0),AND(H18=0,Results!J17=0)),1,0))</f>
        <v>1</v>
      </c>
      <c r="J18">
        <f>IF(K18="-",0,if(K18=Results!I17,3,0))</f>
        <v>3</v>
      </c>
      <c r="K18" t="str">
        <f t="shared" si="2"/>
        <v>3-1</v>
      </c>
      <c r="L18">
        <f t="shared" si="3"/>
        <v>3</v>
      </c>
    </row>
    <row r="19">
      <c r="A19">
        <f>Results!A18</f>
        <v>3</v>
      </c>
      <c r="B19" s="14">
        <f>Results!B18</f>
        <v>46189</v>
      </c>
      <c r="C19" s="15">
        <f>Results!C18</f>
        <v>0.9583333333</v>
      </c>
      <c r="D19" t="str">
        <f>Results!E18</f>
        <v>Iraq</v>
      </c>
      <c r="E19" s="9">
        <v>0.0</v>
      </c>
      <c r="F19" s="9">
        <v>2.0</v>
      </c>
      <c r="G19" t="str">
        <f>Results!H18</f>
        <v>Norway</v>
      </c>
      <c r="H19">
        <f t="shared" si="1"/>
        <v>-2</v>
      </c>
      <c r="I19">
        <f>if(Results!I18="-",0,IF(OR(AND(H19&gt;0,Results!J18&gt;0),AND(H19&lt;0,Results!J18&lt;0),AND(H19=0,Results!J18=0)),1,0))</f>
        <v>1</v>
      </c>
      <c r="J19">
        <f>IF(K19="-",0,if(K19=Results!I18,3,0))</f>
        <v>0</v>
      </c>
      <c r="K19" t="str">
        <f t="shared" si="2"/>
        <v>0-2</v>
      </c>
      <c r="L19">
        <f t="shared" si="3"/>
        <v>1</v>
      </c>
    </row>
    <row r="20">
      <c r="A20">
        <f>Results!A19</f>
        <v>4</v>
      </c>
      <c r="B20" s="14">
        <f>Results!B19</f>
        <v>46190</v>
      </c>
      <c r="C20" s="15">
        <f>Results!C19</f>
        <v>0.08333333333</v>
      </c>
      <c r="D20" t="str">
        <f>Results!E19</f>
        <v>Argentina</v>
      </c>
      <c r="E20" s="9">
        <v>1.0</v>
      </c>
      <c r="F20" s="9">
        <v>0.0</v>
      </c>
      <c r="G20" t="str">
        <f>Results!H19</f>
        <v>Algeria</v>
      </c>
      <c r="H20">
        <f t="shared" si="1"/>
        <v>1</v>
      </c>
      <c r="I20">
        <f>if(Results!I19="-",0,IF(OR(AND(H20&gt;0,Results!J19&gt;0),AND(H20&lt;0,Results!J19&lt;0),AND(H20=0,Results!J19=0)),1,0))</f>
        <v>1</v>
      </c>
      <c r="J20">
        <f>IF(K20="-",0,if(K20=Results!I19,3,0))</f>
        <v>0</v>
      </c>
      <c r="K20" t="str">
        <f t="shared" si="2"/>
        <v>1-0</v>
      </c>
      <c r="L20">
        <f t="shared" si="3"/>
        <v>1</v>
      </c>
    </row>
    <row r="21">
      <c r="A21">
        <f>Results!A20</f>
        <v>4</v>
      </c>
      <c r="B21" s="14">
        <f>Results!B20</f>
        <v>46190</v>
      </c>
      <c r="C21" s="15">
        <f>Results!C20</f>
        <v>0.2083333333</v>
      </c>
      <c r="D21" t="str">
        <f>Results!E20</f>
        <v>Austria</v>
      </c>
      <c r="E21" s="9">
        <v>2.0</v>
      </c>
      <c r="F21" s="9">
        <v>0.0</v>
      </c>
      <c r="G21" t="str">
        <f>Results!H20</f>
        <v>Jordan</v>
      </c>
      <c r="H21">
        <f t="shared" si="1"/>
        <v>2</v>
      </c>
      <c r="I21">
        <f>if(Results!I20="-",0,IF(OR(AND(H21&gt;0,Results!J20&gt;0),AND(H21&lt;0,Results!J20&lt;0),AND(H21=0,Results!J20=0)),1,0))</f>
        <v>1</v>
      </c>
      <c r="J21">
        <f>IF(K21="-",0,if(K21=Results!I20,3,0))</f>
        <v>0</v>
      </c>
      <c r="K21" t="str">
        <f t="shared" si="2"/>
        <v>2-0</v>
      </c>
      <c r="L21">
        <f t="shared" si="3"/>
        <v>1</v>
      </c>
    </row>
    <row r="22">
      <c r="A22">
        <f>Results!A21</f>
        <v>4</v>
      </c>
      <c r="B22" s="14">
        <f>Results!B21</f>
        <v>46190</v>
      </c>
      <c r="C22" s="15">
        <f>Results!C21</f>
        <v>0.75</v>
      </c>
      <c r="D22" t="str">
        <f>Results!E21</f>
        <v>Portugal</v>
      </c>
      <c r="E22" s="9">
        <v>2.0</v>
      </c>
      <c r="F22" s="9">
        <v>1.0</v>
      </c>
      <c r="G22" t="str">
        <f>Results!H21</f>
        <v>Congo DR</v>
      </c>
      <c r="H22">
        <f t="shared" si="1"/>
        <v>1</v>
      </c>
      <c r="I22">
        <f>if(Results!I21="-",0,IF(OR(AND(H22&gt;0,Results!J21&gt;0),AND(H22&lt;0,Results!J21&lt;0),AND(H22=0,Results!J21=0)),1,0))</f>
        <v>0</v>
      </c>
      <c r="J22">
        <f>IF(K22="-",0,if(K22=Results!I21,3,0))</f>
        <v>0</v>
      </c>
      <c r="K22" t="str">
        <f t="shared" si="2"/>
        <v>2-1</v>
      </c>
      <c r="L22">
        <f t="shared" si="3"/>
        <v>0</v>
      </c>
    </row>
    <row r="23">
      <c r="A23">
        <f>Results!A22</f>
        <v>4</v>
      </c>
      <c r="B23" s="14">
        <f>Results!B22</f>
        <v>46190</v>
      </c>
      <c r="C23" s="15">
        <f>Results!C22</f>
        <v>0.875</v>
      </c>
      <c r="D23" t="str">
        <f>Results!E22</f>
        <v>England</v>
      </c>
      <c r="E23" s="9">
        <v>1.0</v>
      </c>
      <c r="F23" s="9">
        <v>0.0</v>
      </c>
      <c r="G23" t="str">
        <f>Results!H22</f>
        <v>Croatia</v>
      </c>
      <c r="H23">
        <f t="shared" si="1"/>
        <v>1</v>
      </c>
      <c r="I23">
        <f>if(Results!I22="-",0,IF(OR(AND(H23&gt;0,Results!J22&gt;0),AND(H23&lt;0,Results!J22&lt;0),AND(H23=0,Results!J22=0)),1,0))</f>
        <v>1</v>
      </c>
      <c r="J23">
        <f>IF(K23="-",0,if(K23=Results!I22,3,0))</f>
        <v>0</v>
      </c>
      <c r="K23" t="str">
        <f t="shared" si="2"/>
        <v>1-0</v>
      </c>
      <c r="L23">
        <f t="shared" si="3"/>
        <v>1</v>
      </c>
    </row>
    <row r="24">
      <c r="A24">
        <f>Results!A23</f>
        <v>5</v>
      </c>
      <c r="B24" s="14">
        <f>Results!B23</f>
        <v>46191</v>
      </c>
      <c r="C24" s="15">
        <f>Results!C23</f>
        <v>0</v>
      </c>
      <c r="D24" t="str">
        <f>Results!E23</f>
        <v>Ghana</v>
      </c>
      <c r="E24" s="9">
        <v>1.0</v>
      </c>
      <c r="F24" s="9">
        <v>1.0</v>
      </c>
      <c r="G24" t="str">
        <f>Results!H23</f>
        <v>Panama</v>
      </c>
      <c r="H24">
        <f t="shared" si="1"/>
        <v>0</v>
      </c>
      <c r="I24">
        <f>if(Results!I23="-",0,IF(OR(AND(H24&gt;0,Results!J23&gt;0),AND(H24&lt;0,Results!J23&lt;0),AND(H24=0,Results!J23=0)),1,0))</f>
        <v>0</v>
      </c>
      <c r="J24">
        <f>IF(K24="-",0,if(K24=Results!I23,3,0))</f>
        <v>0</v>
      </c>
      <c r="K24" t="str">
        <f t="shared" si="2"/>
        <v>1-1</v>
      </c>
      <c r="L24">
        <f t="shared" si="3"/>
        <v>0</v>
      </c>
    </row>
    <row r="25">
      <c r="A25">
        <f>Results!A24</f>
        <v>5</v>
      </c>
      <c r="B25" s="14">
        <f>Results!B24</f>
        <v>46191</v>
      </c>
      <c r="C25" s="15">
        <f>Results!C24</f>
        <v>0.125</v>
      </c>
      <c r="D25" t="str">
        <f>Results!E24</f>
        <v>Uzbekistan</v>
      </c>
      <c r="E25" s="9">
        <v>1.0</v>
      </c>
      <c r="F25" s="9">
        <v>3.0</v>
      </c>
      <c r="G25" t="str">
        <f>Results!H24</f>
        <v>Colombia</v>
      </c>
      <c r="H25">
        <f t="shared" si="1"/>
        <v>-2</v>
      </c>
      <c r="I25">
        <f>if(Results!I24="-",0,IF(OR(AND(H25&gt;0,Results!J24&gt;0),AND(H25&lt;0,Results!J24&lt;0),AND(H25=0,Results!J24=0)),1,0))</f>
        <v>1</v>
      </c>
      <c r="J25">
        <f>IF(K25="-",0,if(K25=Results!I24,3,0))</f>
        <v>3</v>
      </c>
      <c r="K25" t="str">
        <f t="shared" si="2"/>
        <v>1-3</v>
      </c>
      <c r="L25">
        <f t="shared" si="3"/>
        <v>3</v>
      </c>
    </row>
    <row r="26">
      <c r="A26">
        <f>Results!A25</f>
        <v>5</v>
      </c>
      <c r="B26" s="14">
        <f>Results!B25</f>
        <v>46191</v>
      </c>
      <c r="C26" s="15">
        <f>Results!C25</f>
        <v>0.7083333333</v>
      </c>
      <c r="D26" t="str">
        <f>Results!E25</f>
        <v>Czechia</v>
      </c>
      <c r="E26" s="9">
        <v>2.0</v>
      </c>
      <c r="F26" s="9">
        <v>1.0</v>
      </c>
      <c r="G26" t="str">
        <f>Results!H25</f>
        <v>South Africa</v>
      </c>
      <c r="H26">
        <f t="shared" si="1"/>
        <v>1</v>
      </c>
      <c r="I26">
        <f>if(Results!I25="-",0,IF(OR(AND(H26&gt;0,Results!J25&gt;0),AND(H26&lt;0,Results!J25&lt;0),AND(H26=0,Results!J25=0)),1,0))</f>
        <v>0</v>
      </c>
      <c r="J26">
        <f>IF(K26="-",0,if(K26=Results!I25,3,0))</f>
        <v>0</v>
      </c>
      <c r="K26" t="str">
        <f t="shared" si="2"/>
        <v>2-1</v>
      </c>
      <c r="L26">
        <f t="shared" si="3"/>
        <v>0</v>
      </c>
    </row>
    <row r="27">
      <c r="A27">
        <f>Results!A26</f>
        <v>5</v>
      </c>
      <c r="B27" s="14">
        <f>Results!B26</f>
        <v>46191</v>
      </c>
      <c r="C27" s="15">
        <f>Results!C26</f>
        <v>0.8333333333</v>
      </c>
      <c r="D27" t="str">
        <f>Results!E26</f>
        <v>Switzerland</v>
      </c>
      <c r="E27" s="9">
        <v>1.0</v>
      </c>
      <c r="F27" s="9">
        <v>1.0</v>
      </c>
      <c r="G27" t="str">
        <f>Results!H26</f>
        <v>Bosnia and Herzegovina</v>
      </c>
      <c r="H27">
        <f t="shared" si="1"/>
        <v>0</v>
      </c>
      <c r="I27">
        <f>if(Results!I26="-",0,IF(OR(AND(H27&gt;0,Results!J26&gt;0),AND(H27&lt;0,Results!J26&lt;0),AND(H27=0,Results!J26=0)),1,0))</f>
        <v>0</v>
      </c>
      <c r="J27">
        <f>IF(K27="-",0,if(K27=Results!I26,3,0))</f>
        <v>0</v>
      </c>
      <c r="K27" t="str">
        <f t="shared" si="2"/>
        <v>1-1</v>
      </c>
      <c r="L27">
        <f t="shared" si="3"/>
        <v>0</v>
      </c>
    </row>
    <row r="28">
      <c r="A28">
        <f>Results!A27</f>
        <v>5</v>
      </c>
      <c r="B28" s="14">
        <f>Results!B27</f>
        <v>46191</v>
      </c>
      <c r="C28" s="15">
        <f>Results!C27</f>
        <v>0.9583333333</v>
      </c>
      <c r="D28" t="str">
        <f>Results!E27</f>
        <v>Canada</v>
      </c>
      <c r="E28" s="9">
        <v>1.0</v>
      </c>
      <c r="F28" s="9">
        <v>0.0</v>
      </c>
      <c r="G28" t="str">
        <f>Results!H27</f>
        <v>Qatar</v>
      </c>
      <c r="H28">
        <f t="shared" si="1"/>
        <v>1</v>
      </c>
      <c r="I28">
        <f>if(Results!I27="-",0,IF(OR(AND(H28&gt;0,Results!J27&gt;0),AND(H28&lt;0,Results!J27&lt;0),AND(H28=0,Results!J27=0)),1,0))</f>
        <v>1</v>
      </c>
      <c r="J28">
        <f>IF(K28="-",0,if(K28=Results!I27,3,0))</f>
        <v>0</v>
      </c>
      <c r="K28" t="str">
        <f t="shared" si="2"/>
        <v>1-0</v>
      </c>
      <c r="L28">
        <f t="shared" si="3"/>
        <v>1</v>
      </c>
    </row>
    <row r="29">
      <c r="A29">
        <f>Results!A28</f>
        <v>6</v>
      </c>
      <c r="B29" s="14">
        <f>Results!B28</f>
        <v>46192</v>
      </c>
      <c r="C29" s="15">
        <f>Results!C28</f>
        <v>0.08333333333</v>
      </c>
      <c r="D29" t="str">
        <f>Results!E28</f>
        <v>Mexico</v>
      </c>
      <c r="E29" s="9">
        <v>2.0</v>
      </c>
      <c r="F29" s="9">
        <v>1.0</v>
      </c>
      <c r="G29" t="str">
        <f>Results!H28</f>
        <v>South Korea</v>
      </c>
      <c r="H29">
        <f t="shared" si="1"/>
        <v>1</v>
      </c>
      <c r="I29">
        <f>if(Results!I28="-",0,IF(OR(AND(H29&gt;0,Results!J28&gt;0),AND(H29&lt;0,Results!J28&lt;0),AND(H29=0,Results!J28=0)),1,0))</f>
        <v>1</v>
      </c>
      <c r="J29">
        <f>IF(K29="-",0,if(K29=Results!I28,3,0))</f>
        <v>0</v>
      </c>
      <c r="K29" t="str">
        <f t="shared" si="2"/>
        <v>2-1</v>
      </c>
      <c r="L29">
        <f t="shared" si="3"/>
        <v>1</v>
      </c>
    </row>
    <row r="30">
      <c r="A30">
        <f>Results!A29</f>
        <v>6</v>
      </c>
      <c r="B30" s="14">
        <f>Results!B29</f>
        <v>46192</v>
      </c>
      <c r="C30" s="15">
        <f>Results!C29</f>
        <v>0.8333333333</v>
      </c>
      <c r="D30" t="str">
        <f>Results!E29</f>
        <v>USA</v>
      </c>
      <c r="E30" s="9">
        <v>2.0</v>
      </c>
      <c r="F30" s="9">
        <v>1.0</v>
      </c>
      <c r="G30" t="str">
        <f>Results!H29</f>
        <v>Australia</v>
      </c>
      <c r="H30">
        <f t="shared" si="1"/>
        <v>1</v>
      </c>
      <c r="I30">
        <f>if(Results!I29="-",0,IF(OR(AND(H30&gt;0,Results!J29&gt;0),AND(H30&lt;0,Results!J29&lt;0),AND(H30=0,Results!J29=0)),1,0))</f>
        <v>1</v>
      </c>
      <c r="J30">
        <f>IF(K30="-",0,if(K30=Results!I29,3,0))</f>
        <v>0</v>
      </c>
      <c r="K30" t="str">
        <f t="shared" si="2"/>
        <v>2-1</v>
      </c>
      <c r="L30">
        <f t="shared" si="3"/>
        <v>1</v>
      </c>
    </row>
    <row r="31">
      <c r="A31">
        <f>Results!A30</f>
        <v>6</v>
      </c>
      <c r="B31" s="14">
        <f>Results!B30</f>
        <v>46192</v>
      </c>
      <c r="C31" s="15">
        <f>Results!C30</f>
        <v>0.9583333333</v>
      </c>
      <c r="D31" t="str">
        <f>Results!E30</f>
        <v>Scotland</v>
      </c>
      <c r="E31" s="9">
        <v>1.0</v>
      </c>
      <c r="F31" s="9">
        <v>1.0</v>
      </c>
      <c r="G31" t="str">
        <f>Results!H30</f>
        <v>Morocco</v>
      </c>
      <c r="H31">
        <f t="shared" si="1"/>
        <v>0</v>
      </c>
      <c r="I31">
        <f>if(Results!I30="-",0,IF(OR(AND(H31&gt;0,Results!J30&gt;0),AND(H31&lt;0,Results!J30&lt;0),AND(H31=0,Results!J30=0)),1,0))</f>
        <v>0</v>
      </c>
      <c r="J31">
        <f>IF(K31="-",0,if(K31=Results!I30,3,0))</f>
        <v>0</v>
      </c>
      <c r="K31" t="str">
        <f t="shared" si="2"/>
        <v>1-1</v>
      </c>
      <c r="L31">
        <f t="shared" si="3"/>
        <v>0</v>
      </c>
    </row>
    <row r="32">
      <c r="A32">
        <f>Results!A31</f>
        <v>7</v>
      </c>
      <c r="B32" s="14">
        <f>Results!B31</f>
        <v>46193</v>
      </c>
      <c r="C32" s="15">
        <f>Results!C31</f>
        <v>0.0625</v>
      </c>
      <c r="D32" t="str">
        <f>Results!E31</f>
        <v>Brazil</v>
      </c>
      <c r="E32" s="9">
        <v>2.0</v>
      </c>
      <c r="F32" s="9">
        <v>0.0</v>
      </c>
      <c r="G32" t="str">
        <f>Results!H31</f>
        <v>Haiti</v>
      </c>
      <c r="H32">
        <f t="shared" si="1"/>
        <v>2</v>
      </c>
      <c r="I32">
        <f>if(Results!I31="-",0,IF(OR(AND(H32&gt;0,Results!J31&gt;0),AND(H32&lt;0,Results!J31&lt;0),AND(H32=0,Results!J31=0)),1,0))</f>
        <v>1</v>
      </c>
      <c r="J32">
        <f>IF(K32="-",0,if(K32=Results!I31,3,0))</f>
        <v>0</v>
      </c>
      <c r="K32" t="str">
        <f t="shared" si="2"/>
        <v>2-0</v>
      </c>
      <c r="L32">
        <f t="shared" si="3"/>
        <v>1</v>
      </c>
    </row>
    <row r="33">
      <c r="A33">
        <f>Results!A32</f>
        <v>7</v>
      </c>
      <c r="B33" s="14">
        <f>Results!B32</f>
        <v>46193</v>
      </c>
      <c r="C33" s="15">
        <f>Results!C32</f>
        <v>0.1666666667</v>
      </c>
      <c r="D33" t="str">
        <f>Results!E32</f>
        <v>Turkey</v>
      </c>
      <c r="E33" s="9">
        <v>2.0</v>
      </c>
      <c r="F33" s="9">
        <v>2.0</v>
      </c>
      <c r="G33" t="str">
        <f>Results!H32</f>
        <v>Paraguay</v>
      </c>
      <c r="H33">
        <f t="shared" si="1"/>
        <v>0</v>
      </c>
      <c r="I33">
        <f>if(Results!I32="-",0,IF(OR(AND(H33&gt;0,Results!J32&gt;0),AND(H33&lt;0,Results!J32&lt;0),AND(H33=0,Results!J32=0)),1,0))</f>
        <v>0</v>
      </c>
      <c r="J33">
        <f>IF(K33="-",0,if(K33=Results!I32,3,0))</f>
        <v>0</v>
      </c>
      <c r="K33" t="str">
        <f t="shared" si="2"/>
        <v>2-2</v>
      </c>
      <c r="L33">
        <f t="shared" si="3"/>
        <v>0</v>
      </c>
    </row>
    <row r="34">
      <c r="A34">
        <f>Results!A33</f>
        <v>7</v>
      </c>
      <c r="B34" s="14">
        <f>Results!B33</f>
        <v>46193</v>
      </c>
      <c r="C34" s="15">
        <f>Results!C33</f>
        <v>0.75</v>
      </c>
      <c r="D34" t="str">
        <f>Results!E33</f>
        <v>Netherlands</v>
      </c>
      <c r="E34" s="9">
        <v>2.0</v>
      </c>
      <c r="F34" s="9">
        <v>1.0</v>
      </c>
      <c r="G34" t="str">
        <f>Results!H33</f>
        <v>Sweden</v>
      </c>
      <c r="H34">
        <f t="shared" si="1"/>
        <v>1</v>
      </c>
      <c r="I34">
        <f>if(Results!I33="-",0,IF(OR(AND(H34&gt;0,Results!J33&gt;0),AND(H34&lt;0,Results!J33&lt;0),AND(H34=0,Results!J33=0)),1,0))</f>
        <v>0</v>
      </c>
      <c r="J34">
        <f>IF(K34="-",0,if(K34=Results!I33,3,0))</f>
        <v>0</v>
      </c>
      <c r="K34" t="str">
        <f t="shared" si="2"/>
        <v>2-1</v>
      </c>
      <c r="L34">
        <f t="shared" si="3"/>
        <v>0</v>
      </c>
    </row>
    <row r="35">
      <c r="A35">
        <f>Results!A34</f>
        <v>7</v>
      </c>
      <c r="B35" s="14">
        <f>Results!B34</f>
        <v>46193</v>
      </c>
      <c r="C35" s="15">
        <f>Results!C34</f>
        <v>0.875</v>
      </c>
      <c r="D35" t="str">
        <f>Results!E34</f>
        <v>Germany</v>
      </c>
      <c r="E35" s="9">
        <v>2.0</v>
      </c>
      <c r="F35" s="9">
        <v>1.0</v>
      </c>
      <c r="G35" t="str">
        <f>Results!H34</f>
        <v>Ivory Coast</v>
      </c>
      <c r="H35">
        <f t="shared" si="1"/>
        <v>1</v>
      </c>
      <c r="I35">
        <f>if(Results!I34="-",0,IF(OR(AND(H35&gt;0,Results!J34&gt;0),AND(H35&lt;0,Results!J34&lt;0),AND(H35=0,Results!J34=0)),1,0))</f>
        <v>0</v>
      </c>
      <c r="J35">
        <f>IF(K35="-",0,if(K35=Results!I34,3,0))</f>
        <v>0</v>
      </c>
      <c r="K35" t="str">
        <f t="shared" si="2"/>
        <v>2-1</v>
      </c>
      <c r="L35">
        <f t="shared" si="3"/>
        <v>0</v>
      </c>
    </row>
    <row r="36">
      <c r="A36">
        <f>Results!A35</f>
        <v>1</v>
      </c>
      <c r="B36" s="14">
        <f>Results!B35</f>
        <v>46194</v>
      </c>
      <c r="C36" s="15">
        <f>Results!C35</f>
        <v>0.04166666667</v>
      </c>
      <c r="D36" t="str">
        <f>Results!E35</f>
        <v>Ecuador</v>
      </c>
      <c r="E36" s="9">
        <v>2.0</v>
      </c>
      <c r="F36" s="9">
        <v>1.0</v>
      </c>
      <c r="G36" t="str">
        <f>Results!H35</f>
        <v>Curaçao</v>
      </c>
      <c r="H36">
        <f t="shared" si="1"/>
        <v>1</v>
      </c>
      <c r="I36">
        <f>if(Results!I35="-",0,IF(OR(AND(H36&gt;0,Results!J35&gt;0),AND(H36&lt;0,Results!J35&lt;0),AND(H36=0,Results!J35=0)),1,0))</f>
        <v>0</v>
      </c>
      <c r="J36">
        <f>IF(K36="-",0,if(K36=Results!I35,3,0))</f>
        <v>0</v>
      </c>
      <c r="K36" t="str">
        <f t="shared" si="2"/>
        <v>2-1</v>
      </c>
      <c r="L36">
        <f t="shared" si="3"/>
        <v>0</v>
      </c>
    </row>
    <row r="37">
      <c r="A37">
        <f>Results!A36</f>
        <v>1</v>
      </c>
      <c r="B37" s="14">
        <f>Results!B36</f>
        <v>46194</v>
      </c>
      <c r="C37" s="15">
        <f>Results!C36</f>
        <v>0.2083333333</v>
      </c>
      <c r="D37" t="str">
        <f>Results!E36</f>
        <v>Tunisia</v>
      </c>
      <c r="E37" s="9">
        <v>1.0</v>
      </c>
      <c r="F37" s="9">
        <v>2.0</v>
      </c>
      <c r="G37" t="str">
        <f>Results!H36</f>
        <v>Japan</v>
      </c>
      <c r="H37">
        <f t="shared" si="1"/>
        <v>-1</v>
      </c>
      <c r="I37">
        <f>if(Results!I36="-",0,IF(OR(AND(H37&gt;0,Results!J36&gt;0),AND(H37&lt;0,Results!J36&lt;0),AND(H37=0,Results!J36=0)),1,0))</f>
        <v>0</v>
      </c>
      <c r="J37">
        <f>IF(K37="-",0,if(K37=Results!I36,3,0))</f>
        <v>0</v>
      </c>
      <c r="K37" t="str">
        <f t="shared" si="2"/>
        <v>1-2</v>
      </c>
      <c r="L37">
        <f t="shared" si="3"/>
        <v>0</v>
      </c>
    </row>
    <row r="38">
      <c r="A38">
        <f>Results!A37</f>
        <v>1</v>
      </c>
      <c r="B38" s="14">
        <f>Results!B37</f>
        <v>46194</v>
      </c>
      <c r="C38" s="15">
        <f>Results!C37</f>
        <v>0.7083333333</v>
      </c>
      <c r="D38" t="str">
        <f>Results!E37</f>
        <v>Spain</v>
      </c>
      <c r="G38" t="str">
        <f>Results!H37</f>
        <v>Saudi Arabia</v>
      </c>
      <c r="H38">
        <f t="shared" si="1"/>
        <v>0</v>
      </c>
      <c r="I38">
        <f>if(Results!I37="-",0,IF(OR(AND(H38&gt;0,Results!J37&gt;0),AND(H38&lt;0,Results!J37&lt;0),AND(H38=0,Results!J37=0)),1,0))</f>
        <v>0</v>
      </c>
      <c r="J38">
        <f>IF(K38="-",0,if(K38=Results!I37,3,0))</f>
        <v>0</v>
      </c>
      <c r="K38" t="str">
        <f t="shared" si="2"/>
        <v>-</v>
      </c>
      <c r="L38">
        <f t="shared" si="3"/>
        <v>0</v>
      </c>
    </row>
    <row r="39">
      <c r="A39">
        <f>Results!A38</f>
        <v>1</v>
      </c>
      <c r="B39" s="14">
        <f>Results!B38</f>
        <v>46194</v>
      </c>
      <c r="C39" s="15">
        <f>Results!C38</f>
        <v>0.8333333333</v>
      </c>
      <c r="D39" t="str">
        <f>Results!E38</f>
        <v>Belgium</v>
      </c>
      <c r="G39" t="str">
        <f>Results!H38</f>
        <v>Iran</v>
      </c>
      <c r="H39">
        <f t="shared" si="1"/>
        <v>0</v>
      </c>
      <c r="I39">
        <f>if(Results!I38="-",0,IF(OR(AND(H39&gt;0,Results!J38&gt;0),AND(H39&lt;0,Results!J38&lt;0),AND(H39=0,Results!J38=0)),1,0))</f>
        <v>0</v>
      </c>
      <c r="J39">
        <f>IF(K39="-",0,if(K39=Results!I38,3,0))</f>
        <v>0</v>
      </c>
      <c r="K39" t="str">
        <f t="shared" si="2"/>
        <v>-</v>
      </c>
      <c r="L39">
        <f t="shared" si="3"/>
        <v>0</v>
      </c>
    </row>
    <row r="40">
      <c r="A40">
        <f>Results!A39</f>
        <v>1</v>
      </c>
      <c r="B40" s="14">
        <f>Results!B39</f>
        <v>46194</v>
      </c>
      <c r="C40" s="15">
        <f>Results!C39</f>
        <v>0.9583333333</v>
      </c>
      <c r="D40" t="str">
        <f>Results!E39</f>
        <v>Uruguay</v>
      </c>
      <c r="G40" t="str">
        <f>Results!H39</f>
        <v>Cape Verde</v>
      </c>
      <c r="H40">
        <f t="shared" si="1"/>
        <v>0</v>
      </c>
      <c r="I40">
        <f>if(Results!I39="-",0,IF(OR(AND(H40&gt;0,Results!J39&gt;0),AND(H40&lt;0,Results!J39&lt;0),AND(H40=0,Results!J39=0)),1,0))</f>
        <v>0</v>
      </c>
      <c r="J40">
        <f>IF(K40="-",0,if(K40=Results!I39,3,0))</f>
        <v>0</v>
      </c>
      <c r="K40" t="str">
        <f t="shared" si="2"/>
        <v>-</v>
      </c>
      <c r="L40">
        <f t="shared" si="3"/>
        <v>0</v>
      </c>
    </row>
    <row r="41">
      <c r="A41">
        <f>Results!A40</f>
        <v>2</v>
      </c>
      <c r="B41" s="14">
        <f>Results!B40</f>
        <v>46195</v>
      </c>
      <c r="C41" s="15">
        <f>Results!C40</f>
        <v>0.08333333333</v>
      </c>
      <c r="D41" t="str">
        <f>Results!E40</f>
        <v>New Zealand</v>
      </c>
      <c r="G41" t="str">
        <f>Results!H40</f>
        <v>Egypt</v>
      </c>
      <c r="H41">
        <f t="shared" si="1"/>
        <v>0</v>
      </c>
      <c r="I41">
        <f>if(Results!I40="-",0,IF(OR(AND(H41&gt;0,Results!J40&gt;0),AND(H41&lt;0,Results!J40&lt;0),AND(H41=0,Results!J40=0)),1,0))</f>
        <v>0</v>
      </c>
      <c r="J41">
        <f>IF(K41="-",0,if(K41=Results!I40,3,0))</f>
        <v>0</v>
      </c>
      <c r="K41" t="str">
        <f t="shared" si="2"/>
        <v>-</v>
      </c>
      <c r="L41">
        <f t="shared" si="3"/>
        <v>0</v>
      </c>
    </row>
    <row r="42">
      <c r="A42">
        <f>Results!A41</f>
        <v>2</v>
      </c>
      <c r="B42" s="14">
        <f>Results!B41</f>
        <v>46195</v>
      </c>
      <c r="C42" s="15">
        <f>Results!C41</f>
        <v>0.7916666667</v>
      </c>
      <c r="D42" t="str">
        <f>Results!E41</f>
        <v>Argentina</v>
      </c>
      <c r="G42" t="str">
        <f>Results!H41</f>
        <v>Austria</v>
      </c>
      <c r="H42">
        <f t="shared" si="1"/>
        <v>0</v>
      </c>
      <c r="I42">
        <f>if(Results!I41="-",0,IF(OR(AND(H42&gt;0,Results!J41&gt;0),AND(H42&lt;0,Results!J41&lt;0),AND(H42=0,Results!J41=0)),1,0))</f>
        <v>0</v>
      </c>
      <c r="J42">
        <f>IF(K42="-",0,if(K42=Results!I41,3,0))</f>
        <v>0</v>
      </c>
      <c r="K42" t="str">
        <f t="shared" si="2"/>
        <v>-</v>
      </c>
      <c r="L42">
        <f t="shared" si="3"/>
        <v>0</v>
      </c>
    </row>
    <row r="43">
      <c r="A43">
        <f>Results!A42</f>
        <v>2</v>
      </c>
      <c r="B43" s="14">
        <f>Results!B42</f>
        <v>46195</v>
      </c>
      <c r="C43" s="15">
        <f>Results!C42</f>
        <v>0.9583333333</v>
      </c>
      <c r="D43" t="str">
        <f>Results!E42</f>
        <v>France</v>
      </c>
      <c r="G43" t="str">
        <f>Results!H42</f>
        <v>Iraq</v>
      </c>
      <c r="H43">
        <f t="shared" si="1"/>
        <v>0</v>
      </c>
      <c r="I43">
        <f>if(Results!I42="-",0,IF(OR(AND(H43&gt;0,Results!J42&gt;0),AND(H43&lt;0,Results!J42&lt;0),AND(H43=0,Results!J42=0)),1,0))</f>
        <v>0</v>
      </c>
      <c r="J43">
        <f>IF(K43="-",0,if(K43=Results!I42,3,0))</f>
        <v>0</v>
      </c>
      <c r="K43" t="str">
        <f t="shared" si="2"/>
        <v>-</v>
      </c>
      <c r="L43">
        <f t="shared" si="3"/>
        <v>0</v>
      </c>
    </row>
    <row r="44">
      <c r="A44">
        <f>Results!A43</f>
        <v>3</v>
      </c>
      <c r="B44" s="14">
        <f>Results!B43</f>
        <v>46196</v>
      </c>
      <c r="C44" s="15">
        <f>Results!C43</f>
        <v>0.08333333333</v>
      </c>
      <c r="D44" t="str">
        <f>Results!E43</f>
        <v>Norway</v>
      </c>
      <c r="G44" t="str">
        <f>Results!H43</f>
        <v>Senegal</v>
      </c>
      <c r="H44">
        <f t="shared" si="1"/>
        <v>0</v>
      </c>
      <c r="I44">
        <f>if(Results!I43="-",0,IF(OR(AND(H44&gt;0,Results!J43&gt;0),AND(H44&lt;0,Results!J43&lt;0),AND(H44=0,Results!J43=0)),1,0))</f>
        <v>0</v>
      </c>
      <c r="J44">
        <f>IF(K44="-",0,if(K44=Results!I43,3,0))</f>
        <v>0</v>
      </c>
      <c r="K44" t="str">
        <f t="shared" si="2"/>
        <v>-</v>
      </c>
      <c r="L44">
        <f t="shared" si="3"/>
        <v>0</v>
      </c>
    </row>
    <row r="45">
      <c r="A45">
        <f>Results!A44</f>
        <v>3</v>
      </c>
      <c r="B45" s="14">
        <f>Results!B44</f>
        <v>46196</v>
      </c>
      <c r="C45" s="15">
        <f>Results!C44</f>
        <v>0.2083333333</v>
      </c>
      <c r="D45" t="str">
        <f>Results!E44</f>
        <v>Jordan</v>
      </c>
      <c r="G45" t="str">
        <f>Results!H44</f>
        <v>Algeria</v>
      </c>
      <c r="H45">
        <f t="shared" si="1"/>
        <v>0</v>
      </c>
      <c r="I45">
        <f>if(Results!I44="-",0,IF(OR(AND(H45&gt;0,Results!J44&gt;0),AND(H45&lt;0,Results!J44&lt;0),AND(H45=0,Results!J44=0)),1,0))</f>
        <v>0</v>
      </c>
      <c r="J45">
        <f>IF(K45="-",0,if(K45=Results!I44,3,0))</f>
        <v>0</v>
      </c>
      <c r="K45" t="str">
        <f t="shared" si="2"/>
        <v>-</v>
      </c>
      <c r="L45">
        <f t="shared" si="3"/>
        <v>0</v>
      </c>
    </row>
    <row r="46">
      <c r="A46">
        <f>Results!A45</f>
        <v>3</v>
      </c>
      <c r="B46" s="14">
        <f>Results!B45</f>
        <v>46196</v>
      </c>
      <c r="C46" s="15">
        <f>Results!C45</f>
        <v>0.7916666667</v>
      </c>
      <c r="D46" t="str">
        <f>Results!E45</f>
        <v>Portugal</v>
      </c>
      <c r="G46" t="str">
        <f>Results!H45</f>
        <v>Uzbekistan</v>
      </c>
      <c r="H46">
        <f t="shared" si="1"/>
        <v>0</v>
      </c>
      <c r="I46">
        <f>if(Results!I45="-",0,IF(OR(AND(H46&gt;0,Results!J45&gt;0),AND(H46&lt;0,Results!J45&lt;0),AND(H46=0,Results!J45=0)),1,0))</f>
        <v>0</v>
      </c>
      <c r="J46">
        <f>IF(K46="-",0,if(K46=Results!I45,3,0))</f>
        <v>0</v>
      </c>
      <c r="K46" t="str">
        <f t="shared" si="2"/>
        <v>-</v>
      </c>
      <c r="L46">
        <f t="shared" si="3"/>
        <v>0</v>
      </c>
    </row>
    <row r="47">
      <c r="A47">
        <f>Results!A46</f>
        <v>3</v>
      </c>
      <c r="B47" s="14">
        <f>Results!B46</f>
        <v>46196</v>
      </c>
      <c r="C47" s="15">
        <f>Results!C46</f>
        <v>0.9166666667</v>
      </c>
      <c r="D47" t="str">
        <f>Results!E46</f>
        <v>England</v>
      </c>
      <c r="G47" t="str">
        <f>Results!H46</f>
        <v>Ghana</v>
      </c>
      <c r="H47">
        <f t="shared" si="1"/>
        <v>0</v>
      </c>
      <c r="I47">
        <f>if(Results!I46="-",0,IF(OR(AND(H47&gt;0,Results!J46&gt;0),AND(H47&lt;0,Results!J46&lt;0),AND(H47=0,Results!J46=0)),1,0))</f>
        <v>0</v>
      </c>
      <c r="J47">
        <f>IF(K47="-",0,if(K47=Results!I46,3,0))</f>
        <v>0</v>
      </c>
      <c r="K47" t="str">
        <f t="shared" si="2"/>
        <v>-</v>
      </c>
      <c r="L47">
        <f t="shared" si="3"/>
        <v>0</v>
      </c>
    </row>
    <row r="48">
      <c r="A48">
        <f>Results!A47</f>
        <v>4</v>
      </c>
      <c r="B48" s="14">
        <f>Results!B47</f>
        <v>46197</v>
      </c>
      <c r="C48" s="15">
        <f>Results!C47</f>
        <v>0.04166666667</v>
      </c>
      <c r="D48" t="str">
        <f>Results!E47</f>
        <v>Panama</v>
      </c>
      <c r="G48" t="str">
        <f>Results!H47</f>
        <v>Croatia</v>
      </c>
      <c r="H48">
        <f t="shared" si="1"/>
        <v>0</v>
      </c>
      <c r="I48">
        <f>if(Results!I47="-",0,IF(OR(AND(H48&gt;0,Results!J47&gt;0),AND(H48&lt;0,Results!J47&lt;0),AND(H48=0,Results!J47=0)),1,0))</f>
        <v>0</v>
      </c>
      <c r="J48">
        <f>IF(K48="-",0,if(K48=Results!I47,3,0))</f>
        <v>0</v>
      </c>
      <c r="K48" t="str">
        <f t="shared" si="2"/>
        <v>-</v>
      </c>
      <c r="L48">
        <f t="shared" si="3"/>
        <v>0</v>
      </c>
    </row>
    <row r="49">
      <c r="A49">
        <f>Results!A48</f>
        <v>4</v>
      </c>
      <c r="B49" s="14">
        <f>Results!B48</f>
        <v>46197</v>
      </c>
      <c r="C49" s="15">
        <f>Results!C48</f>
        <v>0.1666666667</v>
      </c>
      <c r="D49" t="str">
        <f>Results!E48</f>
        <v>Colombia</v>
      </c>
      <c r="G49" t="str">
        <f>Results!H48</f>
        <v>DR Congo</v>
      </c>
      <c r="H49">
        <f t="shared" si="1"/>
        <v>0</v>
      </c>
      <c r="I49">
        <f>if(Results!I48="-",0,IF(OR(AND(H49&gt;0,Results!J48&gt;0),AND(H49&lt;0,Results!J48&lt;0),AND(H49=0,Results!J48=0)),1,0))</f>
        <v>0</v>
      </c>
      <c r="J49">
        <f>IF(K49="-",0,if(K49=Results!I48,3,0))</f>
        <v>0</v>
      </c>
      <c r="K49" t="str">
        <f t="shared" si="2"/>
        <v>-</v>
      </c>
      <c r="L49">
        <f t="shared" si="3"/>
        <v>0</v>
      </c>
    </row>
    <row r="50">
      <c r="A50">
        <f>Results!A49</f>
        <v>4</v>
      </c>
      <c r="B50" s="14">
        <f>Results!B49</f>
        <v>46197</v>
      </c>
      <c r="C50" s="15">
        <f>Results!C49</f>
        <v>0.75</v>
      </c>
      <c r="D50" t="str">
        <f>Results!E49</f>
        <v>Morocco</v>
      </c>
      <c r="G50" t="str">
        <f>Results!H49</f>
        <v>Haiti</v>
      </c>
      <c r="H50">
        <f t="shared" si="1"/>
        <v>0</v>
      </c>
      <c r="I50">
        <f>if(Results!I49="-",0,IF(OR(AND(H50&gt;0,Results!J49&gt;0),AND(H50&lt;0,Results!J49&lt;0),AND(H50=0,Results!J49=0)),1,0))</f>
        <v>0</v>
      </c>
      <c r="J50">
        <f>IF(K50="-",0,if(K50=Results!I49,3,0))</f>
        <v>0</v>
      </c>
      <c r="K50" t="str">
        <f t="shared" si="2"/>
        <v>-</v>
      </c>
      <c r="L50">
        <f t="shared" si="3"/>
        <v>0</v>
      </c>
    </row>
    <row r="51">
      <c r="A51">
        <f>Results!A50</f>
        <v>4</v>
      </c>
      <c r="B51" s="14">
        <f>Results!B50</f>
        <v>46197</v>
      </c>
      <c r="C51" s="15">
        <f>Results!C50</f>
        <v>0.75</v>
      </c>
      <c r="D51" t="str">
        <f>Results!E50</f>
        <v>Scotland</v>
      </c>
      <c r="G51" t="str">
        <f>Results!H50</f>
        <v>Brazil</v>
      </c>
      <c r="H51">
        <f t="shared" si="1"/>
        <v>0</v>
      </c>
      <c r="I51">
        <f>if(Results!I50="-",0,IF(OR(AND(H51&gt;0,Results!J50&gt;0),AND(H51&lt;0,Results!J50&lt;0),AND(H51=0,Results!J50=0)),1,0))</f>
        <v>0</v>
      </c>
      <c r="J51">
        <f>IF(K51="-",0,if(K51=Results!I50,3,0))</f>
        <v>0</v>
      </c>
      <c r="K51" t="str">
        <f t="shared" si="2"/>
        <v>-</v>
      </c>
      <c r="L51">
        <f t="shared" si="3"/>
        <v>0</v>
      </c>
    </row>
    <row r="52">
      <c r="A52">
        <f>Results!A51</f>
        <v>4</v>
      </c>
      <c r="B52" s="14">
        <f>Results!B51</f>
        <v>46197</v>
      </c>
      <c r="C52" s="15">
        <f>Results!C51</f>
        <v>0.875</v>
      </c>
      <c r="D52" t="str">
        <f>Results!E51</f>
        <v>Canada</v>
      </c>
      <c r="G52" t="str">
        <f>Results!H51</f>
        <v>Switzerland</v>
      </c>
      <c r="H52">
        <f t="shared" si="1"/>
        <v>0</v>
      </c>
      <c r="I52">
        <f>if(Results!I51="-",0,IF(OR(AND(H52&gt;0,Results!J51&gt;0),AND(H52&lt;0,Results!J51&lt;0),AND(H52=0,Results!J51=0)),1,0))</f>
        <v>0</v>
      </c>
      <c r="J52">
        <f>IF(K52="-",0,if(K52=Results!I51,3,0))</f>
        <v>0</v>
      </c>
      <c r="K52" t="str">
        <f t="shared" si="2"/>
        <v>-</v>
      </c>
      <c r="L52">
        <f t="shared" si="3"/>
        <v>0</v>
      </c>
    </row>
    <row r="53">
      <c r="A53">
        <f>Results!A52</f>
        <v>4</v>
      </c>
      <c r="B53" s="14">
        <f>Results!B52</f>
        <v>46197</v>
      </c>
      <c r="C53" s="15">
        <f>Results!C52</f>
        <v>0.875</v>
      </c>
      <c r="D53" t="str">
        <f>Results!E52</f>
        <v>Bosnia and Herzegovina</v>
      </c>
      <c r="G53" t="str">
        <f>Results!H52</f>
        <v>Qatar</v>
      </c>
      <c r="H53">
        <f t="shared" si="1"/>
        <v>0</v>
      </c>
      <c r="I53">
        <f>if(Results!I52="-",0,IF(OR(AND(H53&gt;0,Results!J52&gt;0),AND(H53&lt;0,Results!J52&lt;0),AND(H53=0,Results!J52=0)),1,0))</f>
        <v>0</v>
      </c>
      <c r="J53">
        <f>IF(K53="-",0,if(K53=Results!I52,3,0))</f>
        <v>0</v>
      </c>
      <c r="K53" t="str">
        <f t="shared" si="2"/>
        <v>-</v>
      </c>
      <c r="L53">
        <f t="shared" si="3"/>
        <v>0</v>
      </c>
    </row>
    <row r="54">
      <c r="A54">
        <f>Results!A53</f>
        <v>5</v>
      </c>
      <c r="B54" s="14">
        <f>Results!B53</f>
        <v>46198</v>
      </c>
      <c r="C54" s="15">
        <f>Results!C53</f>
        <v>0.08333333333</v>
      </c>
      <c r="D54" t="str">
        <f>Results!E53</f>
        <v>Mexico</v>
      </c>
      <c r="G54" t="str">
        <f>Results!H53</f>
        <v>Czechia</v>
      </c>
      <c r="H54">
        <f t="shared" si="1"/>
        <v>0</v>
      </c>
      <c r="I54">
        <f>if(Results!I53="-",0,IF(OR(AND(H54&gt;0,Results!J53&gt;0),AND(H54&lt;0,Results!J53&lt;0),AND(H54=0,Results!J53=0)),1,0))</f>
        <v>0</v>
      </c>
      <c r="J54">
        <f>IF(K54="-",0,if(K54=Results!I53,3,0))</f>
        <v>0</v>
      </c>
      <c r="K54" t="str">
        <f t="shared" si="2"/>
        <v>-</v>
      </c>
      <c r="L54">
        <f t="shared" si="3"/>
        <v>0</v>
      </c>
    </row>
    <row r="55">
      <c r="A55">
        <f>Results!A54</f>
        <v>5</v>
      </c>
      <c r="B55" s="14">
        <f>Results!B54</f>
        <v>46198</v>
      </c>
      <c r="C55" s="15">
        <f>Results!C54</f>
        <v>0.08333333333</v>
      </c>
      <c r="D55" t="str">
        <f>Results!E54</f>
        <v>South Korea</v>
      </c>
      <c r="G55" t="str">
        <f>Results!H54</f>
        <v>South Africa</v>
      </c>
      <c r="H55">
        <f t="shared" si="1"/>
        <v>0</v>
      </c>
      <c r="I55">
        <f>if(Results!I54="-",0,IF(OR(AND(H55&gt;0,Results!J54&gt;0),AND(H55&lt;0,Results!J54&lt;0),AND(H55=0,Results!J54=0)),1,0))</f>
        <v>0</v>
      </c>
      <c r="J55">
        <f>IF(K55="-",0,if(K55=Results!I54,3,0))</f>
        <v>0</v>
      </c>
      <c r="K55" t="str">
        <f t="shared" si="2"/>
        <v>-</v>
      </c>
      <c r="L55">
        <f t="shared" si="3"/>
        <v>0</v>
      </c>
    </row>
    <row r="56">
      <c r="A56">
        <f>Results!A55</f>
        <v>5</v>
      </c>
      <c r="B56" s="14">
        <f>Results!B55</f>
        <v>46198</v>
      </c>
      <c r="C56" s="15">
        <f>Results!C55</f>
        <v>0.75</v>
      </c>
      <c r="D56" t="str">
        <f>Results!E55</f>
        <v>Ecuador</v>
      </c>
      <c r="G56" t="str">
        <f>Results!H55</f>
        <v>Germany</v>
      </c>
      <c r="H56">
        <f t="shared" si="1"/>
        <v>0</v>
      </c>
      <c r="I56">
        <f>if(Results!I55="-",0,IF(OR(AND(H56&gt;0,Results!J55&gt;0),AND(H56&lt;0,Results!J55&lt;0),AND(H56=0,Results!J55=0)),1,0))</f>
        <v>0</v>
      </c>
      <c r="J56">
        <f>IF(K56="-",0,if(K56=Results!I55,3,0))</f>
        <v>0</v>
      </c>
      <c r="K56" t="str">
        <f t="shared" si="2"/>
        <v>-</v>
      </c>
      <c r="L56">
        <f t="shared" si="3"/>
        <v>0</v>
      </c>
    </row>
    <row r="57">
      <c r="A57">
        <f>Results!A56</f>
        <v>5</v>
      </c>
      <c r="B57" s="14">
        <f>Results!B56</f>
        <v>46198</v>
      </c>
      <c r="C57" s="15">
        <f>Results!C56</f>
        <v>0.75</v>
      </c>
      <c r="D57" t="str">
        <f>Results!E56</f>
        <v>Curaçao</v>
      </c>
      <c r="G57" t="str">
        <f>Results!H56</f>
        <v>Ivory Coast</v>
      </c>
      <c r="H57">
        <f t="shared" si="1"/>
        <v>0</v>
      </c>
      <c r="I57">
        <f>if(Results!I56="-",0,IF(OR(AND(H57&gt;0,Results!J56&gt;0),AND(H57&lt;0,Results!J56&lt;0),AND(H57=0,Results!J56=0)),1,0))</f>
        <v>0</v>
      </c>
      <c r="J57">
        <f>IF(K57="-",0,if(K57=Results!I56,3,0))</f>
        <v>0</v>
      </c>
      <c r="K57" t="str">
        <f t="shared" si="2"/>
        <v>-</v>
      </c>
      <c r="L57">
        <f t="shared" si="3"/>
        <v>0</v>
      </c>
    </row>
    <row r="58">
      <c r="A58">
        <f>Results!A57</f>
        <v>5</v>
      </c>
      <c r="B58" s="14">
        <f>Results!B57</f>
        <v>46198</v>
      </c>
      <c r="C58" s="15">
        <f>Results!C57</f>
        <v>0.875</v>
      </c>
      <c r="D58" t="str">
        <f>Results!E57</f>
        <v>Tunisia</v>
      </c>
      <c r="G58" t="str">
        <f>Results!H57</f>
        <v>Netherlands</v>
      </c>
      <c r="H58">
        <f t="shared" si="1"/>
        <v>0</v>
      </c>
      <c r="I58">
        <f>if(Results!I57="-",0,IF(OR(AND(H58&gt;0,Results!J57&gt;0),AND(H58&lt;0,Results!J57&lt;0),AND(H58=0,Results!J57=0)),1,0))</f>
        <v>0</v>
      </c>
      <c r="J58">
        <f>IF(K58="-",0,if(K58=Results!I57,3,0))</f>
        <v>0</v>
      </c>
      <c r="K58" t="str">
        <f t="shared" si="2"/>
        <v>-</v>
      </c>
      <c r="L58">
        <f t="shared" si="3"/>
        <v>0</v>
      </c>
    </row>
    <row r="59">
      <c r="A59">
        <f>Results!A58</f>
        <v>5</v>
      </c>
      <c r="B59" s="14">
        <f>Results!B58</f>
        <v>46198</v>
      </c>
      <c r="C59" s="15">
        <f>Results!C58</f>
        <v>0.875</v>
      </c>
      <c r="D59" t="str">
        <f>Results!E58</f>
        <v>Japan</v>
      </c>
      <c r="G59" t="str">
        <f>Results!H58</f>
        <v>Sweden</v>
      </c>
      <c r="H59">
        <f t="shared" si="1"/>
        <v>0</v>
      </c>
      <c r="I59">
        <f>if(Results!I58="-",0,IF(OR(AND(H59&gt;0,Results!J58&gt;0),AND(H59&lt;0,Results!J58&lt;0),AND(H59=0,Results!J58=0)),1,0))</f>
        <v>0</v>
      </c>
      <c r="J59">
        <f>IF(K59="-",0,if(K59=Results!I58,3,0))</f>
        <v>0</v>
      </c>
      <c r="K59" t="str">
        <f t="shared" si="2"/>
        <v>-</v>
      </c>
      <c r="L59">
        <f t="shared" si="3"/>
        <v>0</v>
      </c>
    </row>
    <row r="60">
      <c r="A60">
        <f>Results!A59</f>
        <v>6</v>
      </c>
      <c r="B60" s="14">
        <f>Results!B59</f>
        <v>46199</v>
      </c>
      <c r="C60" s="15">
        <f>Results!C59</f>
        <v>0.04166666667</v>
      </c>
      <c r="D60" t="str">
        <f>Results!E59</f>
        <v>USA</v>
      </c>
      <c r="G60" t="str">
        <f>Results!H59</f>
        <v>Türkiye</v>
      </c>
      <c r="H60">
        <f t="shared" si="1"/>
        <v>0</v>
      </c>
      <c r="I60">
        <f>if(Results!I59="-",0,IF(OR(AND(H60&gt;0,Results!J59&gt;0),AND(H60&lt;0,Results!J59&lt;0),AND(H60=0,Results!J59=0)),1,0))</f>
        <v>0</v>
      </c>
      <c r="J60">
        <f>IF(K60="-",0,if(K60=Results!I59,3,0))</f>
        <v>0</v>
      </c>
      <c r="K60" t="str">
        <f t="shared" si="2"/>
        <v>-</v>
      </c>
      <c r="L60">
        <f t="shared" si="3"/>
        <v>0</v>
      </c>
    </row>
    <row r="61">
      <c r="A61">
        <f>Results!A60</f>
        <v>6</v>
      </c>
      <c r="B61" s="14">
        <f>Results!B60</f>
        <v>46199</v>
      </c>
      <c r="C61" s="15">
        <f>Results!C60</f>
        <v>0.04166666667</v>
      </c>
      <c r="D61" t="str">
        <f>Results!E60</f>
        <v>Paraguay</v>
      </c>
      <c r="G61" t="str">
        <f>Results!H60</f>
        <v>Australia</v>
      </c>
      <c r="H61">
        <f t="shared" si="1"/>
        <v>0</v>
      </c>
      <c r="I61">
        <f>if(Results!I60="-",0,IF(OR(AND(H61&gt;0,Results!J60&gt;0),AND(H61&lt;0,Results!J60&lt;0),AND(H61=0,Results!J60=0)),1,0))</f>
        <v>0</v>
      </c>
      <c r="J61">
        <f>IF(K61="-",0,if(K61=Results!I60,3,0))</f>
        <v>0</v>
      </c>
      <c r="K61" t="str">
        <f t="shared" si="2"/>
        <v>-</v>
      </c>
      <c r="L61">
        <f t="shared" si="3"/>
        <v>0</v>
      </c>
    </row>
    <row r="62">
      <c r="A62">
        <f>Results!A61</f>
        <v>6</v>
      </c>
      <c r="B62" s="14">
        <f>Results!B61</f>
        <v>46199</v>
      </c>
      <c r="C62" s="15">
        <f>Results!C61</f>
        <v>0.75</v>
      </c>
      <c r="D62" t="str">
        <f>Results!E61</f>
        <v>Belgium</v>
      </c>
      <c r="G62" t="str">
        <f>Results!H61</f>
        <v>New Zealand</v>
      </c>
      <c r="H62">
        <f t="shared" si="1"/>
        <v>0</v>
      </c>
      <c r="I62">
        <f>if(Results!I61="-",0,IF(OR(AND(H62&gt;0,Results!J61&gt;0),AND(H62&lt;0,Results!J61&lt;0),AND(H62=0,Results!J61=0)),1,0))</f>
        <v>0</v>
      </c>
      <c r="J62">
        <f>IF(K62="-",0,if(K62=Results!I61,3,0))</f>
        <v>0</v>
      </c>
      <c r="K62" t="str">
        <f t="shared" si="2"/>
        <v>-</v>
      </c>
      <c r="L62">
        <f t="shared" si="3"/>
        <v>0</v>
      </c>
    </row>
    <row r="63">
      <c r="A63">
        <f>Results!A62</f>
        <v>6</v>
      </c>
      <c r="B63" s="14">
        <f>Results!B62</f>
        <v>46199</v>
      </c>
      <c r="C63" s="15">
        <f>Results!C62</f>
        <v>0.75</v>
      </c>
      <c r="D63" t="str">
        <f>Results!E62</f>
        <v>Egypt</v>
      </c>
      <c r="G63" t="str">
        <f>Results!H62</f>
        <v>Iran</v>
      </c>
      <c r="H63">
        <f t="shared" si="1"/>
        <v>0</v>
      </c>
      <c r="I63">
        <f>if(Results!I62="-",0,IF(OR(AND(H63&gt;0,Results!J62&gt;0),AND(H63&lt;0,Results!J62&lt;0),AND(H63=0,Results!J62=0)),1,0))</f>
        <v>0</v>
      </c>
      <c r="J63">
        <f>IF(K63="-",0,if(K63=Results!I62,3,0))</f>
        <v>0</v>
      </c>
      <c r="K63" t="str">
        <f t="shared" si="2"/>
        <v>-</v>
      </c>
      <c r="L63">
        <f t="shared" si="3"/>
        <v>0</v>
      </c>
    </row>
    <row r="64">
      <c r="A64">
        <f>Results!A63</f>
        <v>6</v>
      </c>
      <c r="B64" s="14">
        <f>Results!B63</f>
        <v>46199</v>
      </c>
      <c r="C64" s="15">
        <f>Results!C63</f>
        <v>0.875</v>
      </c>
      <c r="D64" t="str">
        <f>Results!E63</f>
        <v>Spain</v>
      </c>
      <c r="G64" t="str">
        <f>Results!H63</f>
        <v>Uruguay</v>
      </c>
      <c r="H64">
        <f t="shared" si="1"/>
        <v>0</v>
      </c>
      <c r="I64">
        <f>if(Results!I63="-",0,IF(OR(AND(H64&gt;0,Results!J63&gt;0),AND(H64&lt;0,Results!J63&lt;0),AND(H64=0,Results!J63=0)),1,0))</f>
        <v>0</v>
      </c>
      <c r="J64">
        <f>IF(K64="-",0,if(K64=Results!I63,3,0))</f>
        <v>0</v>
      </c>
      <c r="K64" t="str">
        <f t="shared" si="2"/>
        <v>-</v>
      </c>
      <c r="L64">
        <f t="shared" si="3"/>
        <v>0</v>
      </c>
    </row>
    <row r="65">
      <c r="A65">
        <f>Results!A64</f>
        <v>6</v>
      </c>
      <c r="B65" s="14">
        <f>Results!B64</f>
        <v>46199</v>
      </c>
      <c r="C65" s="15">
        <f>Results!C64</f>
        <v>0.875</v>
      </c>
      <c r="D65" t="str">
        <f>Results!E64</f>
        <v>Cape Verde</v>
      </c>
      <c r="G65" t="str">
        <f>Results!H64</f>
        <v>Saudi Arabia</v>
      </c>
      <c r="H65">
        <f t="shared" si="1"/>
        <v>0</v>
      </c>
      <c r="I65">
        <f>if(Results!I64="-",0,IF(OR(AND(H65&gt;0,Results!J64&gt;0),AND(H65&lt;0,Results!J64&lt;0),AND(H65=0,Results!J64=0)),1,0))</f>
        <v>0</v>
      </c>
      <c r="J65">
        <f>IF(K65="-",0,if(K65=Results!I64,3,0))</f>
        <v>0</v>
      </c>
      <c r="K65" t="str">
        <f t="shared" si="2"/>
        <v>-</v>
      </c>
      <c r="L65">
        <f t="shared" si="3"/>
        <v>0</v>
      </c>
    </row>
    <row r="66">
      <c r="A66">
        <f>Results!A65</f>
        <v>7</v>
      </c>
      <c r="B66" s="14">
        <f>Results!B65</f>
        <v>46200</v>
      </c>
      <c r="C66" s="15">
        <f>Results!C65</f>
        <v>0.04166666667</v>
      </c>
      <c r="D66" t="str">
        <f>Results!E65</f>
        <v>France</v>
      </c>
      <c r="G66" t="str">
        <f>Results!H65</f>
        <v>Norway</v>
      </c>
      <c r="H66">
        <f t="shared" si="1"/>
        <v>0</v>
      </c>
      <c r="I66">
        <f>if(Results!I65="-",0,IF(OR(AND(H66&gt;0,Results!J65&gt;0),AND(H66&lt;0,Results!J65&lt;0),AND(H66=0,Results!J65=0)),1,0))</f>
        <v>0</v>
      </c>
      <c r="J66">
        <f>IF(K66="-",0,if(K66=Results!I65,3,0))</f>
        <v>0</v>
      </c>
      <c r="K66" t="str">
        <f t="shared" si="2"/>
        <v>-</v>
      </c>
      <c r="L66">
        <f t="shared" si="3"/>
        <v>0</v>
      </c>
    </row>
    <row r="67">
      <c r="A67">
        <f>Results!A66</f>
        <v>7</v>
      </c>
      <c r="B67" s="14">
        <f>Results!B66</f>
        <v>46200</v>
      </c>
      <c r="C67" s="15">
        <f>Results!C66</f>
        <v>0.04166666667</v>
      </c>
      <c r="D67" t="str">
        <f>Results!E66</f>
        <v>Senegal</v>
      </c>
      <c r="G67" t="str">
        <f>Results!H66</f>
        <v>Iraq</v>
      </c>
      <c r="H67">
        <f t="shared" si="1"/>
        <v>0</v>
      </c>
      <c r="I67">
        <f>if(Results!I66="-",0,IF(OR(AND(H67&gt;0,Results!J66&gt;0),AND(H67&lt;0,Results!J66&lt;0),AND(H67=0,Results!J66=0)),1,0))</f>
        <v>0</v>
      </c>
      <c r="J67">
        <f>IF(K67="-",0,if(K67=Results!I66,3,0))</f>
        <v>0</v>
      </c>
      <c r="K67" t="str">
        <f t="shared" si="2"/>
        <v>-</v>
      </c>
      <c r="L67">
        <f t="shared" si="3"/>
        <v>0</v>
      </c>
    </row>
    <row r="68">
      <c r="A68">
        <f>Results!A67</f>
        <v>7</v>
      </c>
      <c r="B68" s="14">
        <f>Results!B67</f>
        <v>46200</v>
      </c>
      <c r="C68" s="15">
        <f>Results!C67</f>
        <v>0.75</v>
      </c>
      <c r="D68" t="str">
        <f>Results!E67</f>
        <v>Jordan</v>
      </c>
      <c r="G68" t="str">
        <f>Results!H67</f>
        <v>Argentina</v>
      </c>
      <c r="H68">
        <f t="shared" si="1"/>
        <v>0</v>
      </c>
      <c r="I68">
        <f>if(Results!I67="-",0,IF(OR(AND(H68&gt;0,Results!J67&gt;0),AND(H68&lt;0,Results!J67&lt;0),AND(H68=0,Results!J67=0)),1,0))</f>
        <v>0</v>
      </c>
      <c r="J68">
        <f>IF(K68="-",0,if(K68=Results!I67,3,0))</f>
        <v>0</v>
      </c>
      <c r="K68" t="str">
        <f t="shared" si="2"/>
        <v>-</v>
      </c>
      <c r="L68">
        <f t="shared" si="3"/>
        <v>0</v>
      </c>
    </row>
    <row r="69">
      <c r="A69">
        <f>Results!A68</f>
        <v>7</v>
      </c>
      <c r="B69" s="14">
        <f>Results!B68</f>
        <v>46200</v>
      </c>
      <c r="C69" s="15">
        <f>Results!C68</f>
        <v>0.75</v>
      </c>
      <c r="D69" t="str">
        <f>Results!E68</f>
        <v>Algeria</v>
      </c>
      <c r="G69" t="str">
        <f>Results!H68</f>
        <v>Austria</v>
      </c>
      <c r="H69">
        <f t="shared" si="1"/>
        <v>0</v>
      </c>
      <c r="I69">
        <f>if(Results!I68="-",0,IF(OR(AND(H69&gt;0,Results!J68&gt;0),AND(H69&lt;0,Results!J68&lt;0),AND(H69=0,Results!J68=0)),1,0))</f>
        <v>0</v>
      </c>
      <c r="J69">
        <f>IF(K69="-",0,if(K69=Results!I68,3,0))</f>
        <v>0</v>
      </c>
      <c r="K69" t="str">
        <f t="shared" si="2"/>
        <v>-</v>
      </c>
      <c r="L69">
        <f t="shared" si="3"/>
        <v>0</v>
      </c>
    </row>
    <row r="70">
      <c r="A70">
        <f>Results!A69</f>
        <v>7</v>
      </c>
      <c r="B70" s="14">
        <f>Results!B69</f>
        <v>46200</v>
      </c>
      <c r="C70" s="15">
        <f>Results!C69</f>
        <v>0.875</v>
      </c>
      <c r="D70" t="str">
        <f>Results!E69</f>
        <v>Colombia</v>
      </c>
      <c r="G70" t="str">
        <f>Results!H69</f>
        <v>Portugal</v>
      </c>
      <c r="H70">
        <f t="shared" si="1"/>
        <v>0</v>
      </c>
      <c r="I70">
        <f>if(Results!I69="-",0,IF(OR(AND(H70&gt;0,Results!J69&gt;0),AND(H70&lt;0,Results!J69&lt;0),AND(H70=0,Results!J69=0)),1,0))</f>
        <v>0</v>
      </c>
      <c r="J70">
        <f>IF(K70="-",0,if(K70=Results!I69,3,0))</f>
        <v>0</v>
      </c>
      <c r="K70" t="str">
        <f t="shared" si="2"/>
        <v>-</v>
      </c>
      <c r="L70">
        <f t="shared" si="3"/>
        <v>0</v>
      </c>
    </row>
    <row r="71">
      <c r="A71">
        <f>Results!A70</f>
        <v>7</v>
      </c>
      <c r="B71" s="14">
        <f>Results!B70</f>
        <v>46200</v>
      </c>
      <c r="C71" s="15">
        <f>Results!C70</f>
        <v>0.875</v>
      </c>
      <c r="D71" t="str">
        <f>Results!E70</f>
        <v>Congo DR</v>
      </c>
      <c r="G71" t="str">
        <f>Results!H70</f>
        <v>Uzbekistan</v>
      </c>
      <c r="H71">
        <f t="shared" si="1"/>
        <v>0</v>
      </c>
      <c r="I71">
        <f>if(Results!I70="-",0,IF(OR(AND(H71&gt;0,Results!J70&gt;0),AND(H71&lt;0,Results!J70&lt;0),AND(H71=0,Results!J70=0)),1,0))</f>
        <v>0</v>
      </c>
      <c r="J71">
        <f>IF(K71="-",0,if(K71=Results!I70,3,0))</f>
        <v>0</v>
      </c>
      <c r="K71" t="str">
        <f t="shared" si="2"/>
        <v>-</v>
      </c>
      <c r="L71">
        <f t="shared" si="3"/>
        <v>0</v>
      </c>
    </row>
    <row r="72">
      <c r="A72">
        <f>Results!A71</f>
        <v>1</v>
      </c>
      <c r="B72" s="14">
        <f>Results!B71</f>
        <v>46201</v>
      </c>
      <c r="C72" s="15">
        <f>Results!C71</f>
        <v>0.04166666667</v>
      </c>
      <c r="D72" t="str">
        <f>Results!E71</f>
        <v>Panama</v>
      </c>
      <c r="G72" t="str">
        <f>Results!H71</f>
        <v>England</v>
      </c>
      <c r="H72">
        <f t="shared" si="1"/>
        <v>0</v>
      </c>
      <c r="I72">
        <f>if(Results!I71="-",0,IF(OR(AND(H72&gt;0,Results!J71&gt;0),AND(H72&lt;0,Results!J71&lt;0),AND(H72=0,Results!J71=0)),1,0))</f>
        <v>0</v>
      </c>
      <c r="J72">
        <f>IF(K72="-",0,if(K72=Results!I71,3,0))</f>
        <v>0</v>
      </c>
      <c r="K72" t="str">
        <f t="shared" si="2"/>
        <v>-</v>
      </c>
      <c r="L72">
        <f t="shared" si="3"/>
        <v>0</v>
      </c>
    </row>
    <row r="73">
      <c r="A73">
        <f>Results!A72</f>
        <v>1</v>
      </c>
      <c r="B73" s="14">
        <f>Results!B72</f>
        <v>46201</v>
      </c>
      <c r="C73" s="15">
        <f>Results!C72</f>
        <v>0.04166666667</v>
      </c>
      <c r="D73" t="str">
        <f>Results!E72</f>
        <v>Croatia</v>
      </c>
      <c r="G73" t="str">
        <f>Results!H72</f>
        <v>Ghana</v>
      </c>
      <c r="H73">
        <f t="shared" si="1"/>
        <v>0</v>
      </c>
      <c r="I73">
        <f>if(Results!I72="-",0,IF(OR(AND(H73&gt;0,Results!J72&gt;0),AND(H73&lt;0,Results!J72&lt;0),AND(H73=0,Results!J72=0)),1,0))</f>
        <v>0</v>
      </c>
      <c r="J73">
        <f>IF(K73="-",0,if(K73=Results!I72,3,0))</f>
        <v>0</v>
      </c>
      <c r="K73" t="str">
        <f t="shared" si="2"/>
        <v>-</v>
      </c>
      <c r="L73">
        <f t="shared" si="3"/>
        <v>0</v>
      </c>
    </row>
    <row r="74">
      <c r="A74">
        <f>Results!A73</f>
        <v>1</v>
      </c>
      <c r="B74" s="14">
        <f>Results!B73</f>
        <v>46201</v>
      </c>
      <c r="C74" s="15">
        <f>Results!C73</f>
        <v>0.75</v>
      </c>
      <c r="D74" t="str">
        <f>Results!E73</f>
        <v>Winner Group A</v>
      </c>
      <c r="G74" t="str">
        <f>Results!H73</f>
        <v>3rd Place Group C/D/E</v>
      </c>
      <c r="H74">
        <f t="shared" si="1"/>
        <v>0</v>
      </c>
      <c r="I74">
        <f>if(Results!I73="-",0,IF(OR(AND(H74&gt;0,Results!J73&gt;0),AND(H74&lt;0,Results!J73&lt;0),AND(H74=0,Results!J73=0)),1,0))</f>
        <v>0</v>
      </c>
      <c r="J74">
        <f>IF(K74="-",0,if(K74=Results!I73,3,0))</f>
        <v>0</v>
      </c>
      <c r="K74" t="str">
        <f t="shared" si="2"/>
        <v>-</v>
      </c>
      <c r="L74">
        <f t="shared" si="3"/>
        <v>0</v>
      </c>
    </row>
    <row r="75">
      <c r="A75">
        <f>Results!A74</f>
        <v>1</v>
      </c>
      <c r="B75" s="14">
        <f>Results!B74</f>
        <v>46201</v>
      </c>
      <c r="C75" s="15">
        <f>Results!C74</f>
        <v>0.8958333333</v>
      </c>
      <c r="D75" t="str">
        <f>Results!E74</f>
        <v>Runner-up Group A</v>
      </c>
      <c r="G75" t="str">
        <f>Results!H74</f>
        <v>Runner-up Group B</v>
      </c>
      <c r="H75">
        <f t="shared" si="1"/>
        <v>0</v>
      </c>
      <c r="I75">
        <f>if(Results!I74="-",0,IF(OR(AND(H75&gt;0,Results!J74&gt;0),AND(H75&lt;0,Results!J74&lt;0),AND(H75=0,Results!J74=0)),1,0))</f>
        <v>0</v>
      </c>
      <c r="J75">
        <f>IF(K75="-",0,if(K75=Results!I74,3,0))</f>
        <v>0</v>
      </c>
      <c r="K75" t="str">
        <f t="shared" si="2"/>
        <v>-</v>
      </c>
      <c r="L75">
        <f t="shared" si="3"/>
        <v>0</v>
      </c>
    </row>
    <row r="76">
      <c r="A76">
        <f>Results!A75</f>
        <v>2</v>
      </c>
      <c r="B76" s="14">
        <f>Results!B75</f>
        <v>46202</v>
      </c>
      <c r="C76" s="15">
        <f>Results!C75</f>
        <v>0.75</v>
      </c>
      <c r="D76" t="str">
        <f>Results!E75</f>
        <v>Winner Group C</v>
      </c>
      <c r="G76" t="str">
        <f>Results!H75</f>
        <v>Runner-up Group D</v>
      </c>
      <c r="H76">
        <f t="shared" si="1"/>
        <v>0</v>
      </c>
      <c r="I76">
        <f>if(Results!I75="-",0,IF(OR(AND(H76&gt;0,Results!J75&gt;0),AND(H76&lt;0,Results!J75&lt;0),AND(H76=0,Results!J75=0)),1,0))</f>
        <v>0</v>
      </c>
      <c r="J76">
        <f>IF(K76="-",0,if(K76=Results!I75,3,0))</f>
        <v>0</v>
      </c>
      <c r="K76" t="str">
        <f t="shared" si="2"/>
        <v>-</v>
      </c>
      <c r="L76">
        <f t="shared" si="3"/>
        <v>0</v>
      </c>
    </row>
    <row r="77">
      <c r="A77">
        <f>Results!A76</f>
        <v>2</v>
      </c>
      <c r="B77" s="14">
        <f>Results!B76</f>
        <v>46202</v>
      </c>
      <c r="C77" s="15">
        <f>Results!C76</f>
        <v>0.8958333333</v>
      </c>
      <c r="D77" t="str">
        <f>Results!E76</f>
        <v>Winner Group E</v>
      </c>
      <c r="G77" t="str">
        <f>Results!H76</f>
        <v>3rd Place Group A/B/C</v>
      </c>
      <c r="H77">
        <f t="shared" si="1"/>
        <v>0</v>
      </c>
      <c r="I77">
        <f>if(Results!I76="-",0,IF(OR(AND(H77&gt;0,Results!J76&gt;0),AND(H77&lt;0,Results!J76&lt;0),AND(H77=0,Results!J76=0)),1,0))</f>
        <v>0</v>
      </c>
      <c r="J77">
        <f>IF(K77="-",0,if(K77=Results!I76,3,0))</f>
        <v>0</v>
      </c>
      <c r="K77" t="str">
        <f t="shared" si="2"/>
        <v>-</v>
      </c>
      <c r="L77">
        <f t="shared" si="3"/>
        <v>0</v>
      </c>
    </row>
    <row r="78">
      <c r="A78">
        <f>Results!A77</f>
        <v>3</v>
      </c>
      <c r="B78" s="14">
        <f>Results!B77</f>
        <v>46203</v>
      </c>
      <c r="C78" s="15">
        <f>Results!C77</f>
        <v>0.75</v>
      </c>
      <c r="D78" t="str">
        <f>Results!E77</f>
        <v>Winner Group F</v>
      </c>
      <c r="G78" t="str">
        <f>Results!H77</f>
        <v>Runner-up Group C</v>
      </c>
      <c r="H78">
        <f t="shared" si="1"/>
        <v>0</v>
      </c>
      <c r="I78">
        <f>if(Results!I77="-",0,IF(OR(AND(H78&gt;0,Results!J77&gt;0),AND(H78&lt;0,Results!J77&lt;0),AND(H78=0,Results!J77=0)),1,0))</f>
        <v>0</v>
      </c>
      <c r="J78">
        <f>IF(K78="-",0,if(K78=Results!I77,3,0))</f>
        <v>0</v>
      </c>
      <c r="K78" t="str">
        <f t="shared" si="2"/>
        <v>-</v>
      </c>
      <c r="L78">
        <f t="shared" si="3"/>
        <v>0</v>
      </c>
    </row>
    <row r="79">
      <c r="A79">
        <f>Results!A78</f>
        <v>3</v>
      </c>
      <c r="B79" s="14">
        <f>Results!B78</f>
        <v>46203</v>
      </c>
      <c r="C79" s="15">
        <f>Results!C78</f>
        <v>0.9166666667</v>
      </c>
      <c r="D79" t="str">
        <f>Results!E78</f>
        <v>Winner Group B</v>
      </c>
      <c r="G79" t="str">
        <f>Results!H78</f>
        <v>3rd Place Group E/F/G</v>
      </c>
      <c r="H79">
        <f t="shared" si="1"/>
        <v>0</v>
      </c>
      <c r="I79">
        <f>if(Results!I78="-",0,IF(OR(AND(H79&gt;0,Results!J78&gt;0),AND(H79&lt;0,Results!J78&lt;0),AND(H79=0,Results!J78=0)),1,0))</f>
        <v>0</v>
      </c>
      <c r="J79">
        <f>IF(K79="-",0,if(K79=Results!I78,3,0))</f>
        <v>0</v>
      </c>
      <c r="K79" t="str">
        <f t="shared" si="2"/>
        <v>-</v>
      </c>
      <c r="L79">
        <f t="shared" si="3"/>
        <v>0</v>
      </c>
    </row>
    <row r="80">
      <c r="A80">
        <f>Results!A79</f>
        <v>4</v>
      </c>
      <c r="B80" s="16">
        <f>Results!B79</f>
        <v>46204</v>
      </c>
      <c r="C80" s="15">
        <f>Results!C79</f>
        <v>0.04166666667</v>
      </c>
      <c r="D80" t="str">
        <f>Results!E79</f>
        <v>Winner Group G</v>
      </c>
      <c r="G80" t="str">
        <f>Results!H79</f>
        <v>Runner-up Group H</v>
      </c>
      <c r="H80">
        <f t="shared" si="1"/>
        <v>0</v>
      </c>
      <c r="I80">
        <f>if(Results!I79="-",0,IF(OR(AND(H80&gt;0,Results!J79&gt;0),AND(H80&lt;0,Results!J79&lt;0),AND(H80=0,Results!J79=0)),1,0))</f>
        <v>0</v>
      </c>
      <c r="J80">
        <f>IF(K80="-",0,if(K80=Results!I79,3,0))</f>
        <v>0</v>
      </c>
      <c r="K80" t="str">
        <f t="shared" si="2"/>
        <v>-</v>
      </c>
      <c r="L80">
        <f t="shared" si="3"/>
        <v>0</v>
      </c>
    </row>
    <row r="81">
      <c r="A81">
        <f>Results!A80</f>
        <v>4</v>
      </c>
      <c r="B81" s="16">
        <f>Results!B80</f>
        <v>46204</v>
      </c>
      <c r="C81" s="15">
        <f>Results!C80</f>
        <v>0.75</v>
      </c>
      <c r="D81" t="str">
        <f>Results!E80</f>
        <v>Winner Group D</v>
      </c>
      <c r="G81" t="str">
        <f>Results!H80</f>
        <v>3rd Place Group I/J/K</v>
      </c>
      <c r="H81">
        <f t="shared" si="1"/>
        <v>0</v>
      </c>
      <c r="I81">
        <f>if(Results!I80="-",0,IF(OR(AND(H81&gt;0,Results!J80&gt;0),AND(H81&lt;0,Results!J80&lt;0),AND(H81=0,Results!J80=0)),1,0))</f>
        <v>0</v>
      </c>
      <c r="J81">
        <f>IF(K81="-",0,if(K81=Results!I80,3,0))</f>
        <v>0</v>
      </c>
      <c r="K81" t="str">
        <f t="shared" si="2"/>
        <v>-</v>
      </c>
      <c r="L81">
        <f t="shared" si="3"/>
        <v>0</v>
      </c>
    </row>
    <row r="82">
      <c r="A82">
        <f>Results!A81</f>
        <v>4</v>
      </c>
      <c r="B82" s="16">
        <f>Results!B81</f>
        <v>46204</v>
      </c>
      <c r="C82" s="15">
        <f>Results!C81</f>
        <v>0.875</v>
      </c>
      <c r="D82" t="str">
        <f>Results!E81</f>
        <v>Winner Group H</v>
      </c>
      <c r="G82" t="str">
        <f>Results!H81</f>
        <v>Runner-up Group G</v>
      </c>
      <c r="H82">
        <f t="shared" si="1"/>
        <v>0</v>
      </c>
      <c r="I82">
        <f>if(Results!I81="-",0,IF(OR(AND(H82&gt;0,Results!J81&gt;0),AND(H82&lt;0,Results!J81&lt;0),AND(H82=0,Results!J81=0)),1,0))</f>
        <v>0</v>
      </c>
      <c r="J82">
        <f>IF(K82="-",0,if(K82=Results!I81,3,0))</f>
        <v>0</v>
      </c>
      <c r="K82" t="str">
        <f t="shared" si="2"/>
        <v>-</v>
      </c>
      <c r="L82">
        <f t="shared" si="3"/>
        <v>0</v>
      </c>
    </row>
    <row r="83">
      <c r="A83">
        <f>Results!A82</f>
        <v>5</v>
      </c>
      <c r="B83" s="16">
        <f>Results!B82</f>
        <v>46205</v>
      </c>
      <c r="C83" s="15">
        <f>Results!C82</f>
        <v>0.04166666667</v>
      </c>
      <c r="D83" t="str">
        <f>Results!E82</f>
        <v>Winner Group I</v>
      </c>
      <c r="G83" t="str">
        <f>Results!H82</f>
        <v>3rd Place Group B/C/F</v>
      </c>
      <c r="H83">
        <f t="shared" si="1"/>
        <v>0</v>
      </c>
      <c r="I83">
        <f>if(Results!I82="-",0,IF(OR(AND(H83&gt;0,Results!J82&gt;0),AND(H83&lt;0,Results!J82&lt;0),AND(H83=0,Results!J82=0)),1,0))</f>
        <v>0</v>
      </c>
      <c r="J83">
        <f>IF(K83="-",0,if(K83=Results!I82,3,0))</f>
        <v>0</v>
      </c>
      <c r="K83" t="str">
        <f t="shared" si="2"/>
        <v>-</v>
      </c>
      <c r="L83">
        <f t="shared" si="3"/>
        <v>0</v>
      </c>
    </row>
    <row r="84">
      <c r="A84">
        <f>Results!A83</f>
        <v>5</v>
      </c>
      <c r="B84" s="16">
        <f>Results!B83</f>
        <v>46205</v>
      </c>
      <c r="C84" s="15">
        <f>Results!C83</f>
        <v>0.75</v>
      </c>
      <c r="D84" t="str">
        <f>Results!E83</f>
        <v>Winner Group J</v>
      </c>
      <c r="G84" t="str">
        <f>Results!H83</f>
        <v>Runner-up Group K</v>
      </c>
      <c r="H84">
        <f t="shared" si="1"/>
        <v>0</v>
      </c>
      <c r="I84">
        <f>if(Results!I83="-",0,IF(OR(AND(H84&gt;0,Results!J83&gt;0),AND(H84&lt;0,Results!J83&lt;0),AND(H84=0,Results!J83=0)),1,0))</f>
        <v>0</v>
      </c>
      <c r="J84">
        <f>IF(K84="-",0,if(K84=Results!I83,3,0))</f>
        <v>0</v>
      </c>
      <c r="K84" t="str">
        <f t="shared" si="2"/>
        <v>-</v>
      </c>
      <c r="L84">
        <f t="shared" si="3"/>
        <v>0</v>
      </c>
    </row>
    <row r="85">
      <c r="A85">
        <f>Results!A84</f>
        <v>5</v>
      </c>
      <c r="B85" s="16">
        <f>Results!B84</f>
        <v>46205</v>
      </c>
      <c r="C85" s="15">
        <f>Results!C84</f>
        <v>0.875</v>
      </c>
      <c r="D85" t="str">
        <f>Results!E84</f>
        <v>Winner Group K</v>
      </c>
      <c r="G85" t="str">
        <f>Results!H84</f>
        <v>Runner-up Group J</v>
      </c>
      <c r="H85">
        <f t="shared" si="1"/>
        <v>0</v>
      </c>
      <c r="I85">
        <f>if(Results!I84="-",0,IF(OR(AND(H85&gt;0,Results!J84&gt;0),AND(H85&lt;0,Results!J84&lt;0),AND(H85=0,Results!J84=0)),1,0))</f>
        <v>0</v>
      </c>
      <c r="J85">
        <f>IF(K85="-",0,if(K85=Results!I84,3,0))</f>
        <v>0</v>
      </c>
      <c r="K85" t="str">
        <f t="shared" si="2"/>
        <v>-</v>
      </c>
      <c r="L85">
        <f t="shared" si="3"/>
        <v>0</v>
      </c>
    </row>
    <row r="86">
      <c r="A86">
        <f>Results!A85</f>
        <v>6</v>
      </c>
      <c r="B86" s="16">
        <f>Results!B85</f>
        <v>46206</v>
      </c>
      <c r="C86" s="15">
        <f>Results!C85</f>
        <v>0.04166666667</v>
      </c>
      <c r="D86" t="str">
        <f>Results!E85</f>
        <v>Winner Group L</v>
      </c>
      <c r="G86" t="str">
        <f>Results!H85</f>
        <v>3rd Place Group A/D/H</v>
      </c>
      <c r="H86">
        <f t="shared" si="1"/>
        <v>0</v>
      </c>
      <c r="I86">
        <f>if(Results!I85="-",0,IF(OR(AND(H86&gt;0,Results!J85&gt;0),AND(H86&lt;0,Results!J85&lt;0),AND(H86=0,Results!J85=0)),1,0))</f>
        <v>0</v>
      </c>
      <c r="J86">
        <f>IF(K86="-",0,if(K86=Results!I85,3,0))</f>
        <v>0</v>
      </c>
      <c r="K86" t="str">
        <f t="shared" si="2"/>
        <v>-</v>
      </c>
      <c r="L86">
        <f t="shared" si="3"/>
        <v>0</v>
      </c>
    </row>
    <row r="87">
      <c r="A87">
        <f>Results!A86</f>
        <v>6</v>
      </c>
      <c r="B87" s="16">
        <f>Results!B86</f>
        <v>46206</v>
      </c>
      <c r="C87" s="15">
        <f>Results!C86</f>
        <v>0.75</v>
      </c>
      <c r="D87" t="str">
        <f>Results!E86</f>
        <v>Runner-up Group D</v>
      </c>
      <c r="G87" t="str">
        <f>Results!H86</f>
        <v>Runner-up Group E</v>
      </c>
      <c r="H87">
        <f t="shared" si="1"/>
        <v>0</v>
      </c>
      <c r="I87">
        <f>if(Results!I86="-",0,IF(OR(AND(H87&gt;0,Results!J86&gt;0),AND(H87&lt;0,Results!J86&lt;0),AND(H87=0,Results!J86=0)),1,0))</f>
        <v>0</v>
      </c>
      <c r="J87">
        <f>IF(K87="-",0,if(K87=Results!I86,3,0))</f>
        <v>0</v>
      </c>
      <c r="K87" t="str">
        <f t="shared" si="2"/>
        <v>-</v>
      </c>
      <c r="L87">
        <f t="shared" si="3"/>
        <v>0</v>
      </c>
    </row>
    <row r="88">
      <c r="A88">
        <f>Results!A87</f>
        <v>6</v>
      </c>
      <c r="B88" s="16">
        <f>Results!B87</f>
        <v>46206</v>
      </c>
      <c r="C88" s="15">
        <f>Results!C87</f>
        <v>0.875</v>
      </c>
      <c r="D88" t="str">
        <f>Results!E87</f>
        <v>Runner-up Group H</v>
      </c>
      <c r="G88" t="str">
        <f>Results!H87</f>
        <v>Runner-up Group I</v>
      </c>
      <c r="H88">
        <f t="shared" si="1"/>
        <v>0</v>
      </c>
      <c r="I88">
        <f>if(Results!I87="-",0,IF(OR(AND(H88&gt;0,Results!J87&gt;0),AND(H88&lt;0,Results!J87&lt;0),AND(H88=0,Results!J87=0)),1,0))</f>
        <v>0</v>
      </c>
      <c r="J88">
        <f>IF(K88="-",0,if(K88=Results!I87,3,0))</f>
        <v>0</v>
      </c>
      <c r="K88" t="str">
        <f t="shared" si="2"/>
        <v>-</v>
      </c>
      <c r="L88">
        <f t="shared" si="3"/>
        <v>0</v>
      </c>
    </row>
    <row r="89">
      <c r="A89">
        <f>Results!A88</f>
        <v>7</v>
      </c>
      <c r="B89" s="16">
        <f>Results!B88</f>
        <v>46207</v>
      </c>
      <c r="C89" s="15">
        <f>Results!C88</f>
        <v>0.04166666667</v>
      </c>
      <c r="D89" t="str">
        <f>Results!E88</f>
        <v>Runner-up Group L</v>
      </c>
      <c r="G89" t="str">
        <f>Results!H88</f>
        <v>Runner-up Group K</v>
      </c>
      <c r="H89">
        <f t="shared" si="1"/>
        <v>0</v>
      </c>
      <c r="I89">
        <f>if(Results!I88="-",0,IF(OR(AND(H89&gt;0,Results!J88&gt;0),AND(H89&lt;0,Results!J88&lt;0),AND(H89=0,Results!J88=0)),1,0))</f>
        <v>0</v>
      </c>
      <c r="J89">
        <f>IF(K89="-",0,if(K89=Results!I88,3,0))</f>
        <v>0</v>
      </c>
      <c r="K89" t="str">
        <f t="shared" si="2"/>
        <v>-</v>
      </c>
      <c r="L89">
        <f t="shared" si="3"/>
        <v>0</v>
      </c>
    </row>
    <row r="90">
      <c r="A90">
        <f>Results!A89</f>
        <v>7</v>
      </c>
      <c r="B90" s="16">
        <f>Results!B89</f>
        <v>46207</v>
      </c>
      <c r="C90" s="15">
        <f>Results!C89</f>
        <v>0.75</v>
      </c>
      <c r="D90" t="str">
        <f>Results!E89</f>
        <v>Winner Match 73</v>
      </c>
      <c r="G90" t="str">
        <f>Results!H89</f>
        <v>Winner Match 74</v>
      </c>
      <c r="H90">
        <f t="shared" si="1"/>
        <v>0</v>
      </c>
      <c r="I90">
        <f>if(Results!I89="-",0,IF(OR(AND(H90&gt;0,Results!J89&gt;0),AND(H90&lt;0,Results!J89&lt;0),AND(H90=0,Results!J89=0)),1,0))</f>
        <v>0</v>
      </c>
      <c r="J90">
        <f>IF(K90="-",0,if(K90=Results!I89,3,0))</f>
        <v>0</v>
      </c>
      <c r="K90" t="str">
        <f t="shared" si="2"/>
        <v>-</v>
      </c>
      <c r="L90">
        <f t="shared" si="3"/>
        <v>0</v>
      </c>
    </row>
    <row r="91">
      <c r="A91">
        <f>Results!A90</f>
        <v>7</v>
      </c>
      <c r="B91" s="16">
        <f>Results!B90</f>
        <v>46207</v>
      </c>
      <c r="C91" s="15">
        <f>Results!C90</f>
        <v>0.8958333333</v>
      </c>
      <c r="D91" t="str">
        <f>Results!E90</f>
        <v>Winner Match 75</v>
      </c>
      <c r="G91" t="str">
        <f>Results!H90</f>
        <v>Winner Match 76</v>
      </c>
      <c r="H91">
        <f t="shared" si="1"/>
        <v>0</v>
      </c>
      <c r="I91">
        <f>if(Results!I90="-",0,IF(OR(AND(H91&gt;0,Results!J90&gt;0),AND(H91&lt;0,Results!J90&lt;0),AND(H91=0,Results!J90=0)),1,0))</f>
        <v>0</v>
      </c>
      <c r="J91">
        <f>IF(K91="-",0,if(K91=Results!I90,3,0))</f>
        <v>0</v>
      </c>
      <c r="K91" t="str">
        <f t="shared" si="2"/>
        <v>-</v>
      </c>
      <c r="L91">
        <f t="shared" si="3"/>
        <v>0</v>
      </c>
    </row>
    <row r="92">
      <c r="A92">
        <f>Results!A91</f>
        <v>1</v>
      </c>
      <c r="B92" s="16">
        <f>Results!B91</f>
        <v>46208</v>
      </c>
      <c r="C92" s="15">
        <f>Results!C91</f>
        <v>0.75</v>
      </c>
      <c r="D92" t="str">
        <f>Results!E91</f>
        <v>Winner Match 77</v>
      </c>
      <c r="G92" t="str">
        <f>Results!H91</f>
        <v>Winner Match 78</v>
      </c>
      <c r="H92">
        <f t="shared" si="1"/>
        <v>0</v>
      </c>
      <c r="I92">
        <f>if(Results!I91="-",0,IF(OR(AND(H92&gt;0,Results!J91&gt;0),AND(H92&lt;0,Results!J91&lt;0),AND(H92=0,Results!J91=0)),1,0))</f>
        <v>0</v>
      </c>
      <c r="J92">
        <f>IF(K92="-",0,if(K92=Results!I91,3,0))</f>
        <v>0</v>
      </c>
      <c r="K92" t="str">
        <f t="shared" si="2"/>
        <v>-</v>
      </c>
      <c r="L92">
        <f t="shared" si="3"/>
        <v>0</v>
      </c>
    </row>
    <row r="93">
      <c r="A93">
        <f>Results!A92</f>
        <v>1</v>
      </c>
      <c r="B93" s="16">
        <f>Results!B92</f>
        <v>46208</v>
      </c>
      <c r="C93" s="15">
        <f>Results!C92</f>
        <v>0.8958333333</v>
      </c>
      <c r="D93" t="str">
        <f>Results!E92</f>
        <v>Winner Match 79</v>
      </c>
      <c r="G93" t="str">
        <f>Results!H92</f>
        <v>Winner Match 80</v>
      </c>
      <c r="H93">
        <f t="shared" si="1"/>
        <v>0</v>
      </c>
      <c r="I93">
        <f>if(Results!I92="-",0,IF(OR(AND(H93&gt;0,Results!J92&gt;0),AND(H93&lt;0,Results!J92&lt;0),AND(H93=0,Results!J92=0)),1,0))</f>
        <v>0</v>
      </c>
      <c r="J93">
        <f>IF(K93="-",0,if(K93=Results!I92,3,0))</f>
        <v>0</v>
      </c>
      <c r="K93" t="str">
        <f t="shared" si="2"/>
        <v>-</v>
      </c>
      <c r="L93">
        <f t="shared" si="3"/>
        <v>0</v>
      </c>
    </row>
    <row r="94">
      <c r="A94">
        <f>Results!A93</f>
        <v>2</v>
      </c>
      <c r="B94" s="16">
        <f>Results!B93</f>
        <v>46209</v>
      </c>
      <c r="C94" s="15">
        <f>Results!C93</f>
        <v>0.75</v>
      </c>
      <c r="D94" t="str">
        <f>Results!E93</f>
        <v>Winner Match 81</v>
      </c>
      <c r="G94" t="str">
        <f>Results!H93</f>
        <v>Winner Match 82</v>
      </c>
      <c r="H94">
        <f t="shared" si="1"/>
        <v>0</v>
      </c>
      <c r="I94">
        <f>if(Results!I93="-",0,IF(OR(AND(H94&gt;0,Results!J93&gt;0),AND(H94&lt;0,Results!J93&lt;0),AND(H94=0,Results!J93=0)),1,0))</f>
        <v>0</v>
      </c>
      <c r="J94">
        <f>IF(K94="-",0,if(K94=Results!I93,3,0))</f>
        <v>0</v>
      </c>
      <c r="K94" t="str">
        <f t="shared" si="2"/>
        <v>-</v>
      </c>
      <c r="L94">
        <f t="shared" si="3"/>
        <v>0</v>
      </c>
    </row>
    <row r="95">
      <c r="A95">
        <f>Results!A94</f>
        <v>2</v>
      </c>
      <c r="B95" s="16">
        <f>Results!B94</f>
        <v>46209</v>
      </c>
      <c r="C95" s="15">
        <f>Results!C94</f>
        <v>0.8958333333</v>
      </c>
      <c r="D95" t="str">
        <f>Results!E94</f>
        <v>Winner Match 83</v>
      </c>
      <c r="G95" t="str">
        <f>Results!H94</f>
        <v>Winner Match 84</v>
      </c>
      <c r="H95">
        <f t="shared" si="1"/>
        <v>0</v>
      </c>
      <c r="I95">
        <f>if(Results!I94="-",0,IF(OR(AND(H95&gt;0,Results!J94&gt;0),AND(H95&lt;0,Results!J94&lt;0),AND(H95=0,Results!J94=0)),1,0))</f>
        <v>0</v>
      </c>
      <c r="J95">
        <f>IF(K95="-",0,if(K95=Results!I94,3,0))</f>
        <v>0</v>
      </c>
      <c r="K95" t="str">
        <f t="shared" si="2"/>
        <v>-</v>
      </c>
      <c r="L95">
        <f t="shared" si="3"/>
        <v>0</v>
      </c>
    </row>
    <row r="96">
      <c r="A96">
        <f>Results!A95</f>
        <v>3</v>
      </c>
      <c r="B96" s="16">
        <f>Results!B95</f>
        <v>46210</v>
      </c>
      <c r="C96" s="15">
        <f>Results!C95</f>
        <v>0.75</v>
      </c>
      <c r="D96" t="str">
        <f>Results!E95</f>
        <v>Winner Match 85</v>
      </c>
      <c r="G96" t="str">
        <f>Results!H95</f>
        <v>Winner Match 86</v>
      </c>
      <c r="H96">
        <f t="shared" si="1"/>
        <v>0</v>
      </c>
      <c r="I96">
        <f>if(Results!I95="-",0,IF(OR(AND(H96&gt;0,Results!J95&gt;0),AND(H96&lt;0,Results!J95&lt;0),AND(H96=0,Results!J95=0)),1,0))</f>
        <v>0</v>
      </c>
      <c r="J96">
        <f>IF(K96="-",0,if(K96=Results!I95,3,0))</f>
        <v>0</v>
      </c>
      <c r="K96" t="str">
        <f t="shared" si="2"/>
        <v>-</v>
      </c>
      <c r="L96">
        <f t="shared" si="3"/>
        <v>0</v>
      </c>
    </row>
    <row r="97">
      <c r="A97">
        <f>Results!A96</f>
        <v>3</v>
      </c>
      <c r="B97" s="16">
        <f>Results!B96</f>
        <v>46210</v>
      </c>
      <c r="C97" s="15">
        <f>Results!C96</f>
        <v>0.8958333333</v>
      </c>
      <c r="D97" t="str">
        <f>Results!E96</f>
        <v>Winner Match 87</v>
      </c>
      <c r="G97" t="str">
        <f>Results!H96</f>
        <v>Winner Match 88</v>
      </c>
      <c r="H97">
        <f t="shared" si="1"/>
        <v>0</v>
      </c>
      <c r="I97">
        <f>if(Results!I96="-",0,IF(OR(AND(H97&gt;0,Results!J96&gt;0),AND(H97&lt;0,Results!J96&lt;0),AND(H97=0,Results!J96=0)),1,0))</f>
        <v>0</v>
      </c>
      <c r="J97">
        <f>IF(K97="-",0,if(K97=Results!I96,3,0))</f>
        <v>0</v>
      </c>
      <c r="K97" t="str">
        <f t="shared" si="2"/>
        <v>-</v>
      </c>
      <c r="L97">
        <f t="shared" si="3"/>
        <v>0</v>
      </c>
    </row>
    <row r="98">
      <c r="A98">
        <f>Results!A97</f>
        <v>5</v>
      </c>
      <c r="B98" s="16">
        <f>Results!B97</f>
        <v>46212</v>
      </c>
      <c r="C98" s="15">
        <f>Results!C97</f>
        <v>0.8333333333</v>
      </c>
      <c r="D98" t="str">
        <f>Results!E97</f>
        <v>Winner Match 89</v>
      </c>
      <c r="G98" t="str">
        <f>Results!H97</f>
        <v>Winner Match 90</v>
      </c>
      <c r="H98">
        <f t="shared" si="1"/>
        <v>0</v>
      </c>
      <c r="I98">
        <f>if(Results!I97="-",0,IF(OR(AND(H98&gt;0,Results!J97&gt;0),AND(H98&lt;0,Results!J97&lt;0),AND(H98=0,Results!J97=0)),1,0))</f>
        <v>0</v>
      </c>
      <c r="J98">
        <f>IF(K98="-",0,if(K98=Results!I97,3,0))</f>
        <v>0</v>
      </c>
      <c r="K98" t="str">
        <f t="shared" si="2"/>
        <v>-</v>
      </c>
      <c r="L98">
        <f t="shared" si="3"/>
        <v>0</v>
      </c>
    </row>
    <row r="99">
      <c r="A99">
        <f>Results!A98</f>
        <v>6</v>
      </c>
      <c r="B99" s="14">
        <f>Results!B98</f>
        <v>46213</v>
      </c>
      <c r="C99" s="15">
        <f>Results!C98</f>
        <v>0.8333333333</v>
      </c>
      <c r="D99" t="str">
        <f>Results!E98</f>
        <v>Winner Match 91</v>
      </c>
      <c r="G99" t="str">
        <f>Results!H98</f>
        <v>Winner Match 92</v>
      </c>
      <c r="H99">
        <f t="shared" si="1"/>
        <v>0</v>
      </c>
      <c r="I99">
        <f>if(Results!I98="-",0,IF(OR(AND(H99&gt;0,Results!J98&gt;0),AND(H99&lt;0,Results!J98&lt;0),AND(H99=0,Results!J98=0)),1,0))</f>
        <v>0</v>
      </c>
      <c r="J99">
        <f>IF(K99="-",0,if(K99=Results!I98,3,0))</f>
        <v>0</v>
      </c>
      <c r="K99" t="str">
        <f t="shared" si="2"/>
        <v>-</v>
      </c>
      <c r="L99">
        <f t="shared" si="3"/>
        <v>0</v>
      </c>
    </row>
    <row r="100">
      <c r="A100">
        <f>Results!A99</f>
        <v>7</v>
      </c>
      <c r="B100" s="14">
        <f>Results!B99</f>
        <v>46214</v>
      </c>
      <c r="C100" s="15">
        <f>Results!C99</f>
        <v>0.75</v>
      </c>
      <c r="D100" t="str">
        <f>Results!E99</f>
        <v>Winner Match 93</v>
      </c>
      <c r="G100" t="str">
        <f>Results!H99</f>
        <v>Winner Match 94</v>
      </c>
      <c r="H100">
        <f t="shared" si="1"/>
        <v>0</v>
      </c>
      <c r="I100">
        <f>if(Results!I99="-",0,IF(OR(AND(H100&gt;0,Results!J99&gt;0),AND(H100&lt;0,Results!J99&lt;0),AND(H100=0,Results!J99=0)),1,0))</f>
        <v>0</v>
      </c>
      <c r="J100">
        <f>IF(K100="-",0,if(K100=Results!I99,3,0))</f>
        <v>0</v>
      </c>
      <c r="K100" t="str">
        <f t="shared" si="2"/>
        <v>-</v>
      </c>
      <c r="L100">
        <f t="shared" si="3"/>
        <v>0</v>
      </c>
    </row>
    <row r="101">
      <c r="A101">
        <f>Results!A100</f>
        <v>7</v>
      </c>
      <c r="B101" s="14">
        <f>Results!B100</f>
        <v>46214</v>
      </c>
      <c r="C101" s="15">
        <f>Results!C100</f>
        <v>0.8958333333</v>
      </c>
      <c r="D101" t="str">
        <f>Results!E100</f>
        <v>Winner Match 95</v>
      </c>
      <c r="G101" t="str">
        <f>Results!H100</f>
        <v>Winner Match 96</v>
      </c>
      <c r="H101">
        <f t="shared" si="1"/>
        <v>0</v>
      </c>
      <c r="I101">
        <f>if(Results!I100="-",0,IF(OR(AND(H101&gt;0,Results!J100&gt;0),AND(H101&lt;0,Results!J100&lt;0),AND(H101=0,Results!J100=0)),1,0))</f>
        <v>0</v>
      </c>
      <c r="J101">
        <f>IF(K101="-",0,if(K101=Results!I100,3,0))</f>
        <v>0</v>
      </c>
      <c r="K101" t="str">
        <f t="shared" si="2"/>
        <v>-</v>
      </c>
      <c r="L101">
        <f t="shared" si="3"/>
        <v>0</v>
      </c>
    </row>
    <row r="102">
      <c r="A102">
        <f>Results!A101</f>
        <v>3</v>
      </c>
      <c r="B102" s="14">
        <f>Results!B101</f>
        <v>46217</v>
      </c>
      <c r="C102" s="15">
        <f>Results!C101</f>
        <v>0.8333333333</v>
      </c>
      <c r="D102" t="str">
        <f>Results!E101</f>
        <v>Winner Match 97</v>
      </c>
      <c r="G102" t="str">
        <f>Results!H101</f>
        <v>Winner Match 98</v>
      </c>
      <c r="H102">
        <f t="shared" si="1"/>
        <v>0</v>
      </c>
      <c r="I102">
        <f>if(Results!I101="-",0,IF(OR(AND(H102&gt;0,Results!J101&gt;0),AND(H102&lt;0,Results!J101&lt;0),AND(H102=0,Results!J101=0)),1,0))</f>
        <v>0</v>
      </c>
      <c r="J102">
        <f>IF(K102="-",0,if(K102=Results!I101,3,0))</f>
        <v>0</v>
      </c>
      <c r="K102" t="str">
        <f t="shared" si="2"/>
        <v>-</v>
      </c>
      <c r="L102">
        <f t="shared" si="3"/>
        <v>0</v>
      </c>
    </row>
    <row r="103">
      <c r="A103">
        <f>Results!A102</f>
        <v>4</v>
      </c>
      <c r="B103" s="14">
        <f>Results!B102</f>
        <v>46218</v>
      </c>
      <c r="C103" s="15">
        <f>Results!C102</f>
        <v>0.8333333333</v>
      </c>
      <c r="D103" t="str">
        <f>Results!E102</f>
        <v>Winner Match 99</v>
      </c>
      <c r="G103" t="str">
        <f>Results!H102</f>
        <v>Winner Match 100</v>
      </c>
      <c r="H103">
        <f t="shared" si="1"/>
        <v>0</v>
      </c>
      <c r="I103">
        <f>if(Results!I102="-",0,IF(OR(AND(H103&gt;0,Results!J102&gt;0),AND(H103&lt;0,Results!J102&lt;0),AND(H103=0,Results!J102=0)),1,0))</f>
        <v>0</v>
      </c>
      <c r="J103">
        <f>IF(K103="-",0,if(K103=Results!I102,3,0))</f>
        <v>0</v>
      </c>
      <c r="K103" t="str">
        <f t="shared" si="2"/>
        <v>-</v>
      </c>
      <c r="L103">
        <f t="shared" si="3"/>
        <v>0</v>
      </c>
    </row>
    <row r="104">
      <c r="A104">
        <f>Results!A103</f>
        <v>7</v>
      </c>
      <c r="B104" s="14">
        <f>Results!B103</f>
        <v>46221</v>
      </c>
      <c r="C104" s="15">
        <f>Results!C103</f>
        <v>0.8333333333</v>
      </c>
      <c r="D104" t="str">
        <f>Results!E103</f>
        <v>Loser Match 101</v>
      </c>
      <c r="G104" t="str">
        <f>Results!H103</f>
        <v>Loser Match 102</v>
      </c>
      <c r="H104">
        <f t="shared" si="1"/>
        <v>0</v>
      </c>
      <c r="I104">
        <f>if(Results!I103="-",0,IF(OR(AND(H104&gt;0,Results!J103&gt;0),AND(H104&lt;0,Results!J103&lt;0),AND(H104=0,Results!J103=0)),1,0))</f>
        <v>0</v>
      </c>
      <c r="J104">
        <f>IF(K104="-",0,if(K104=Results!I103,3,0))</f>
        <v>0</v>
      </c>
      <c r="K104" t="str">
        <f t="shared" si="2"/>
        <v>-</v>
      </c>
      <c r="L104">
        <f t="shared" si="3"/>
        <v>0</v>
      </c>
    </row>
    <row r="105">
      <c r="A105">
        <f>Results!A104</f>
        <v>1</v>
      </c>
      <c r="B105" s="14">
        <f>Results!B104</f>
        <v>46222</v>
      </c>
      <c r="C105" s="15">
        <f>Results!C104</f>
        <v>0.8333333333</v>
      </c>
      <c r="D105" t="str">
        <f>Results!E104</f>
        <v>Winner Match 101</v>
      </c>
      <c r="G105" t="str">
        <f>Results!H104</f>
        <v>Winner Match 102</v>
      </c>
      <c r="H105">
        <f t="shared" si="1"/>
        <v>0</v>
      </c>
      <c r="I105">
        <f>if(Results!I104="-",0,IF(OR(AND(H105&gt;0,Results!J104&gt;0),AND(H105&lt;0,Results!J104&lt;0),AND(H105=0,Results!J104=0)),1,0))</f>
        <v>0</v>
      </c>
      <c r="J105">
        <f>IF(K105="-",0,if(K105=Results!I104,3,0))</f>
        <v>0</v>
      </c>
      <c r="K105" t="str">
        <f t="shared" si="2"/>
        <v>-</v>
      </c>
      <c r="L105">
        <f t="shared" si="3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7" max="7" width="21.0"/>
  </cols>
  <sheetData>
    <row r="1">
      <c r="E1" s="9"/>
      <c r="F1" s="9"/>
    </row>
    <row r="2">
      <c r="A2">
        <f>Results!A1</f>
        <v>5</v>
      </c>
      <c r="B2" s="14">
        <f>Results!B1</f>
        <v>46184</v>
      </c>
      <c r="C2" s="15">
        <f>Results!C1</f>
        <v>0.8333333333</v>
      </c>
      <c r="D2" t="str">
        <f>Results!E1</f>
        <v>Mexico</v>
      </c>
      <c r="E2" s="9">
        <v>1.0</v>
      </c>
      <c r="F2" s="9">
        <v>1.0</v>
      </c>
      <c r="G2" t="str">
        <f>Results!H1</f>
        <v>South Africa</v>
      </c>
      <c r="H2">
        <f t="shared" ref="H2:H105" si="1">E2-F2</f>
        <v>0</v>
      </c>
      <c r="I2">
        <f>if(Results!I1="-",0,IF(OR(AND(H2&gt;0,Results!J1&gt;0),AND(H2&lt;0,Results!J1&lt;0),AND(H2=0,Results!J1=0)),1,0))</f>
        <v>0</v>
      </c>
      <c r="J2">
        <f>IF(K2="-",0,if(K2=Results!I1,3,0))</f>
        <v>0</v>
      </c>
      <c r="K2" t="str">
        <f t="shared" ref="K2:K105" si="2">E2&amp;"-"&amp;F2</f>
        <v>1-1</v>
      </c>
      <c r="L2">
        <f t="shared" ref="L2:L105" si="3">MAX(I2,J2)</f>
        <v>0</v>
      </c>
    </row>
    <row r="3">
      <c r="A3">
        <f>Results!A2</f>
        <v>6</v>
      </c>
      <c r="B3" s="14">
        <f>Results!B2</f>
        <v>46185</v>
      </c>
      <c r="C3" s="15">
        <f>Results!C2</f>
        <v>0.125</v>
      </c>
      <c r="D3" t="str">
        <f>Results!E2</f>
        <v>South Korea</v>
      </c>
      <c r="E3" s="9">
        <v>1.0</v>
      </c>
      <c r="F3" s="9">
        <v>1.0</v>
      </c>
      <c r="G3" t="str">
        <f>Results!H2</f>
        <v>Czech Republic</v>
      </c>
      <c r="H3">
        <f t="shared" si="1"/>
        <v>0</v>
      </c>
      <c r="I3">
        <f>if(Results!I2="-",0,IF(OR(AND(H3&gt;0,Results!J2&gt;0),AND(H3&lt;0,Results!J2&lt;0),AND(H3=0,Results!J2=0)),1,0))</f>
        <v>0</v>
      </c>
      <c r="J3">
        <f>IF(K3="-",0,if(K3=Results!I2,3,0))</f>
        <v>0</v>
      </c>
      <c r="K3" t="str">
        <f t="shared" si="2"/>
        <v>1-1</v>
      </c>
      <c r="L3">
        <f t="shared" si="3"/>
        <v>0</v>
      </c>
    </row>
    <row r="4">
      <c r="A4">
        <f>Results!A3</f>
        <v>6</v>
      </c>
      <c r="B4" s="14">
        <f>Results!B3</f>
        <v>46185</v>
      </c>
      <c r="C4" s="15">
        <f>Results!C3</f>
        <v>0.8333333333</v>
      </c>
      <c r="D4" t="str">
        <f>Results!E3</f>
        <v>Canada</v>
      </c>
      <c r="E4" s="9">
        <v>2.0</v>
      </c>
      <c r="F4" s="9">
        <v>0.0</v>
      </c>
      <c r="G4" t="str">
        <f>Results!H3</f>
        <v>Bosnia and Herzegovina</v>
      </c>
      <c r="H4">
        <f t="shared" si="1"/>
        <v>2</v>
      </c>
      <c r="I4">
        <f>if(Results!I3="-",0,IF(OR(AND(H4&gt;0,Results!J3&gt;0),AND(H4&lt;0,Results!J3&lt;0),AND(H4=0,Results!J3=0)),1,0))</f>
        <v>0</v>
      </c>
      <c r="J4">
        <f>IF(K4="-",0,if(K4=Results!I3,3,0))</f>
        <v>0</v>
      </c>
      <c r="K4" t="str">
        <f t="shared" si="2"/>
        <v>2-0</v>
      </c>
      <c r="L4">
        <f t="shared" si="3"/>
        <v>0</v>
      </c>
    </row>
    <row r="5">
      <c r="A5">
        <f>Results!A4</f>
        <v>7</v>
      </c>
      <c r="B5" s="14">
        <f>Results!B4</f>
        <v>46186</v>
      </c>
      <c r="C5" s="15">
        <f>Results!C4</f>
        <v>0.08333333333</v>
      </c>
      <c r="D5" t="str">
        <f>Results!E4</f>
        <v>USA</v>
      </c>
      <c r="E5" s="9">
        <v>2.0</v>
      </c>
      <c r="F5" s="9">
        <v>0.0</v>
      </c>
      <c r="G5" t="str">
        <f>Results!H4</f>
        <v>Paraguay</v>
      </c>
      <c r="H5">
        <f t="shared" si="1"/>
        <v>2</v>
      </c>
      <c r="I5">
        <f>if(Results!I4="-",0,IF(OR(AND(H5&gt;0,Results!J4&gt;0),AND(H5&lt;0,Results!J4&lt;0),AND(H5=0,Results!J4=0)),1,0))</f>
        <v>1</v>
      </c>
      <c r="J5">
        <f>IF(K5="-",0,if(K5=Results!I4,3,0))</f>
        <v>0</v>
      </c>
      <c r="K5" t="str">
        <f t="shared" si="2"/>
        <v>2-0</v>
      </c>
      <c r="L5">
        <f t="shared" si="3"/>
        <v>1</v>
      </c>
    </row>
    <row r="6">
      <c r="A6">
        <f>Results!A5</f>
        <v>7</v>
      </c>
      <c r="B6" s="14">
        <f>Results!B5</f>
        <v>46186</v>
      </c>
      <c r="C6" s="15">
        <f>Results!C5</f>
        <v>0.8333333333</v>
      </c>
      <c r="D6" t="str">
        <f>Results!E5</f>
        <v>Qatar</v>
      </c>
      <c r="E6" s="9">
        <v>0.0</v>
      </c>
      <c r="F6" s="9">
        <v>3.0</v>
      </c>
      <c r="G6" t="str">
        <f>Results!H5</f>
        <v>Switzerland</v>
      </c>
      <c r="H6">
        <f t="shared" si="1"/>
        <v>-3</v>
      </c>
      <c r="I6">
        <f>if(Results!I5="-",0,IF(OR(AND(H6&gt;0,Results!J5&gt;0),AND(H6&lt;0,Results!J5&lt;0),AND(H6=0,Results!J5=0)),1,0))</f>
        <v>0</v>
      </c>
      <c r="J6">
        <f>IF(K6="-",0,if(K6=Results!I5,3,0))</f>
        <v>0</v>
      </c>
      <c r="K6" t="str">
        <f t="shared" si="2"/>
        <v>0-3</v>
      </c>
      <c r="L6">
        <f t="shared" si="3"/>
        <v>0</v>
      </c>
    </row>
    <row r="7">
      <c r="A7">
        <f>Results!A6</f>
        <v>7</v>
      </c>
      <c r="B7" s="14">
        <f>Results!B6</f>
        <v>46186</v>
      </c>
      <c r="C7" s="15">
        <f>Results!C6</f>
        <v>0.9583333333</v>
      </c>
      <c r="D7" t="str">
        <f>Results!E6</f>
        <v>Brazil</v>
      </c>
      <c r="E7" s="9">
        <v>1.0</v>
      </c>
      <c r="F7" s="9">
        <v>1.0</v>
      </c>
      <c r="G7" t="str">
        <f>Results!H6</f>
        <v>Morocco</v>
      </c>
      <c r="H7">
        <f t="shared" si="1"/>
        <v>0</v>
      </c>
      <c r="I7">
        <f>if(Results!I6="-",0,IF(OR(AND(H7&gt;0,Results!J6&gt;0),AND(H7&lt;0,Results!J6&lt;0),AND(H7=0,Results!J6=0)),1,0))</f>
        <v>1</v>
      </c>
      <c r="J7">
        <f>IF(K7="-",0,if(K7=Results!I6,3,0))</f>
        <v>3</v>
      </c>
      <c r="K7" t="str">
        <f t="shared" si="2"/>
        <v>1-1</v>
      </c>
      <c r="L7">
        <f t="shared" si="3"/>
        <v>3</v>
      </c>
    </row>
    <row r="8">
      <c r="A8">
        <f>Results!A7</f>
        <v>1</v>
      </c>
      <c r="B8" s="14">
        <f>Results!B7</f>
        <v>46187</v>
      </c>
      <c r="C8" s="15">
        <f>Results!C7</f>
        <v>0.08333333333</v>
      </c>
      <c r="D8" t="str">
        <f>Results!E7</f>
        <v>Haiti</v>
      </c>
      <c r="E8" s="9">
        <v>0.0</v>
      </c>
      <c r="F8" s="9">
        <v>2.0</v>
      </c>
      <c r="G8" t="str">
        <f>Results!H7</f>
        <v>Scotland</v>
      </c>
      <c r="H8">
        <f t="shared" si="1"/>
        <v>-2</v>
      </c>
      <c r="I8">
        <f>if(Results!I7="-",0,IF(OR(AND(H8&gt;0,Results!J7&gt;0),AND(H8&lt;0,Results!J7&lt;0),AND(H8=0,Results!J7=0)),1,0))</f>
        <v>1</v>
      </c>
      <c r="J8">
        <f>IF(K8="-",0,if(K8=Results!I7,3,0))</f>
        <v>0</v>
      </c>
      <c r="K8" t="str">
        <f t="shared" si="2"/>
        <v>0-2</v>
      </c>
      <c r="L8">
        <f t="shared" si="3"/>
        <v>1</v>
      </c>
    </row>
    <row r="9">
      <c r="A9">
        <f>Results!A8</f>
        <v>1</v>
      </c>
      <c r="B9" s="14">
        <f>Results!B8</f>
        <v>46187</v>
      </c>
      <c r="C9" s="15">
        <f>Results!C8</f>
        <v>0.2083333333</v>
      </c>
      <c r="D9" t="str">
        <f>Results!E8</f>
        <v>Australia</v>
      </c>
      <c r="G9" t="str">
        <f>Results!H8</f>
        <v>Türkiye</v>
      </c>
      <c r="H9">
        <f t="shared" si="1"/>
        <v>0</v>
      </c>
      <c r="I9">
        <f>if(Results!I8="-",0,IF(OR(AND(H9&gt;0,Results!J8&gt;0),AND(H9&lt;0,Results!J8&lt;0),AND(H9=0,Results!J8=0)),1,0))</f>
        <v>0</v>
      </c>
      <c r="J9">
        <f>IF(K9="-",0,if(K9=Results!I8,3,0))</f>
        <v>0</v>
      </c>
      <c r="K9" t="str">
        <f t="shared" si="2"/>
        <v>-</v>
      </c>
      <c r="L9">
        <f t="shared" si="3"/>
        <v>0</v>
      </c>
    </row>
    <row r="10">
      <c r="A10">
        <f>Results!A9</f>
        <v>1</v>
      </c>
      <c r="B10" s="14">
        <f>Results!B9</f>
        <v>46187</v>
      </c>
      <c r="C10" s="15">
        <f>Results!C9</f>
        <v>0.75</v>
      </c>
      <c r="D10" t="str">
        <f>Results!E9</f>
        <v>Germany</v>
      </c>
      <c r="E10" s="9">
        <v>4.0</v>
      </c>
      <c r="F10" s="9">
        <v>0.0</v>
      </c>
      <c r="G10" t="str">
        <f>Results!H9</f>
        <v>Curaçao</v>
      </c>
      <c r="H10">
        <f t="shared" si="1"/>
        <v>4</v>
      </c>
      <c r="I10">
        <f>if(Results!I9="-",0,IF(OR(AND(H10&gt;0,Results!J9&gt;0),AND(H10&lt;0,Results!J9&lt;0),AND(H10=0,Results!J9=0)),1,0))</f>
        <v>1</v>
      </c>
      <c r="J10">
        <f>IF(K10="-",0,if(K10=Results!I9,3,0))</f>
        <v>0</v>
      </c>
      <c r="K10" t="str">
        <f t="shared" si="2"/>
        <v>4-0</v>
      </c>
      <c r="L10">
        <f t="shared" si="3"/>
        <v>1</v>
      </c>
    </row>
    <row r="11">
      <c r="A11">
        <f>Results!A10</f>
        <v>1</v>
      </c>
      <c r="B11" s="14">
        <f>Results!B10</f>
        <v>46187</v>
      </c>
      <c r="C11" s="15">
        <f>Results!C10</f>
        <v>0.875</v>
      </c>
      <c r="D11" t="str">
        <f>Results!E10</f>
        <v>Netherlands</v>
      </c>
      <c r="E11" s="9">
        <v>1.0</v>
      </c>
      <c r="F11" s="9">
        <v>1.0</v>
      </c>
      <c r="G11" t="str">
        <f>Results!H10</f>
        <v>Japan</v>
      </c>
      <c r="H11">
        <f t="shared" si="1"/>
        <v>0</v>
      </c>
      <c r="I11">
        <f>if(Results!I10="-",0,IF(OR(AND(H11&gt;0,Results!J10&gt;0),AND(H11&lt;0,Results!J10&lt;0),AND(H11=0,Results!J10=0)),1,0))</f>
        <v>1</v>
      </c>
      <c r="J11">
        <f>IF(K11="-",0,if(K11=Results!I10,3,0))</f>
        <v>0</v>
      </c>
      <c r="K11" t="str">
        <f t="shared" si="2"/>
        <v>1-1</v>
      </c>
      <c r="L11">
        <f t="shared" si="3"/>
        <v>1</v>
      </c>
    </row>
    <row r="12">
      <c r="A12">
        <f>Results!A11</f>
        <v>2</v>
      </c>
      <c r="B12" s="14">
        <f>Results!B11</f>
        <v>46188</v>
      </c>
      <c r="C12" s="15">
        <f>Results!C11</f>
        <v>0</v>
      </c>
      <c r="D12" t="str">
        <f>Results!E11</f>
        <v>Ivory Coast</v>
      </c>
      <c r="E12" s="9">
        <v>1.0</v>
      </c>
      <c r="F12" s="9">
        <v>0.0</v>
      </c>
      <c r="G12" t="str">
        <f>Results!H11</f>
        <v>Ecuador</v>
      </c>
      <c r="H12">
        <f t="shared" si="1"/>
        <v>1</v>
      </c>
      <c r="I12">
        <f>if(Results!I11="-",0,IF(OR(AND(H12&gt;0,Results!J11&gt;0),AND(H12&lt;0,Results!J11&lt;0),AND(H12=0,Results!J11=0)),1,0))</f>
        <v>1</v>
      </c>
      <c r="J12">
        <f>IF(K12="-",0,if(K12=Results!I11,3,0))</f>
        <v>3</v>
      </c>
      <c r="K12" t="str">
        <f t="shared" si="2"/>
        <v>1-0</v>
      </c>
      <c r="L12">
        <f t="shared" si="3"/>
        <v>3</v>
      </c>
    </row>
    <row r="13">
      <c r="A13">
        <f>Results!A12</f>
        <v>2</v>
      </c>
      <c r="B13" s="14">
        <f>Results!B12</f>
        <v>46188</v>
      </c>
      <c r="C13" s="15">
        <f>Results!C12</f>
        <v>0.125</v>
      </c>
      <c r="D13" t="str">
        <f>Results!E12</f>
        <v>Sweden</v>
      </c>
      <c r="E13" s="9">
        <v>1.0</v>
      </c>
      <c r="F13" s="9">
        <v>0.0</v>
      </c>
      <c r="G13" t="str">
        <f>Results!H12</f>
        <v>Tunisia</v>
      </c>
      <c r="H13">
        <f t="shared" si="1"/>
        <v>1</v>
      </c>
      <c r="I13">
        <f>if(Results!I12="-",0,IF(OR(AND(H13&gt;0,Results!J12&gt;0),AND(H13&lt;0,Results!J12&lt;0),AND(H13=0,Results!J12=0)),1,0))</f>
        <v>1</v>
      </c>
      <c r="J13">
        <f>IF(K13="-",0,if(K13=Results!I12,3,0))</f>
        <v>0</v>
      </c>
      <c r="K13" t="str">
        <f t="shared" si="2"/>
        <v>1-0</v>
      </c>
      <c r="L13">
        <f t="shared" si="3"/>
        <v>1</v>
      </c>
    </row>
    <row r="14">
      <c r="A14">
        <f>Results!A13</f>
        <v>2</v>
      </c>
      <c r="B14" s="14">
        <f>Results!B13</f>
        <v>46188</v>
      </c>
      <c r="C14" s="15">
        <f>Results!C13</f>
        <v>0.7083333333</v>
      </c>
      <c r="D14" t="str">
        <f>Results!E13</f>
        <v>Spain</v>
      </c>
      <c r="E14" s="9">
        <v>5.0</v>
      </c>
      <c r="F14" s="9">
        <v>0.0</v>
      </c>
      <c r="G14" t="str">
        <f>Results!H13</f>
        <v>Cape Verde</v>
      </c>
      <c r="H14">
        <f t="shared" si="1"/>
        <v>5</v>
      </c>
      <c r="I14">
        <f>if(Results!I13="-",0,IF(OR(AND(H14&gt;0,Results!J13&gt;0),AND(H14&lt;0,Results!J13&lt;0),AND(H14=0,Results!J13=0)),1,0))</f>
        <v>0</v>
      </c>
      <c r="J14">
        <f>IF(K14="-",0,if(K14=Results!I13,3,0))</f>
        <v>0</v>
      </c>
      <c r="K14" t="str">
        <f t="shared" si="2"/>
        <v>5-0</v>
      </c>
      <c r="L14">
        <f t="shared" si="3"/>
        <v>0</v>
      </c>
    </row>
    <row r="15">
      <c r="A15">
        <f>Results!A14</f>
        <v>2</v>
      </c>
      <c r="B15" s="14">
        <f>Results!B14</f>
        <v>46188</v>
      </c>
      <c r="C15" s="15">
        <f>Results!C14</f>
        <v>0.8333333333</v>
      </c>
      <c r="D15" t="str">
        <f>Results!E14</f>
        <v>Belgium</v>
      </c>
      <c r="E15" s="9">
        <v>1.0</v>
      </c>
      <c r="F15" s="9">
        <v>1.0</v>
      </c>
      <c r="G15" t="str">
        <f>Results!H14</f>
        <v>Egypt</v>
      </c>
      <c r="H15">
        <f t="shared" si="1"/>
        <v>0</v>
      </c>
      <c r="I15">
        <f>if(Results!I14="-",0,IF(OR(AND(H15&gt;0,Results!J14&gt;0),AND(H15&lt;0,Results!J14&lt;0),AND(H15=0,Results!J14=0)),1,0))</f>
        <v>1</v>
      </c>
      <c r="J15">
        <f>IF(K15="-",0,if(K15=Results!I14,3,0))</f>
        <v>3</v>
      </c>
      <c r="K15" t="str">
        <f t="shared" si="2"/>
        <v>1-1</v>
      </c>
      <c r="L15">
        <f t="shared" si="3"/>
        <v>3</v>
      </c>
    </row>
    <row r="16">
      <c r="A16">
        <f>Results!A15</f>
        <v>2</v>
      </c>
      <c r="B16" s="14">
        <f>Results!B15</f>
        <v>46188</v>
      </c>
      <c r="C16" s="15">
        <f>Results!C15</f>
        <v>0.9583333333</v>
      </c>
      <c r="D16" t="str">
        <f>Results!E15</f>
        <v>Saudi Arabia</v>
      </c>
      <c r="E16" s="9">
        <v>1.0</v>
      </c>
      <c r="F16" s="9">
        <v>2.0</v>
      </c>
      <c r="G16" t="str">
        <f>Results!H15</f>
        <v>Uruguay</v>
      </c>
      <c r="H16">
        <f t="shared" si="1"/>
        <v>-1</v>
      </c>
      <c r="I16">
        <f>if(Results!I15="-",0,IF(OR(AND(H16&gt;0,Results!J15&gt;0),AND(H16&lt;0,Results!J15&lt;0),AND(H16=0,Results!J15=0)),1,0))</f>
        <v>0</v>
      </c>
      <c r="J16">
        <f>IF(K16="-",0,if(K16=Results!I15,3,0))</f>
        <v>0</v>
      </c>
      <c r="K16" t="str">
        <f t="shared" si="2"/>
        <v>1-2</v>
      </c>
      <c r="L16">
        <f t="shared" si="3"/>
        <v>0</v>
      </c>
    </row>
    <row r="17">
      <c r="A17">
        <f>Results!A16</f>
        <v>3</v>
      </c>
      <c r="B17" s="14">
        <f>Results!B16</f>
        <v>46189</v>
      </c>
      <c r="C17" s="15">
        <f>Results!C16</f>
        <v>0.08333333333</v>
      </c>
      <c r="D17" t="str">
        <f>Results!E16</f>
        <v>Iran</v>
      </c>
      <c r="E17" s="9">
        <v>0.0</v>
      </c>
      <c r="F17" s="9">
        <v>1.0</v>
      </c>
      <c r="G17" t="str">
        <f>Results!H16</f>
        <v>New Zealand</v>
      </c>
      <c r="H17">
        <f t="shared" si="1"/>
        <v>-1</v>
      </c>
      <c r="I17">
        <f>if(Results!I16="-",0,IF(OR(AND(H17&gt;0,Results!J16&gt;0),AND(H17&lt;0,Results!J16&lt;0),AND(H17=0,Results!J16=0)),1,0))</f>
        <v>0</v>
      </c>
      <c r="J17">
        <f>IF(K17="-",0,if(K17=Results!I16,3,0))</f>
        <v>0</v>
      </c>
      <c r="K17" t="str">
        <f t="shared" si="2"/>
        <v>0-1</v>
      </c>
      <c r="L17">
        <f t="shared" si="3"/>
        <v>0</v>
      </c>
    </row>
    <row r="18">
      <c r="A18">
        <f>Results!A17</f>
        <v>3</v>
      </c>
      <c r="B18" s="14">
        <f>Results!B17</f>
        <v>46189</v>
      </c>
      <c r="C18" s="15">
        <f>Results!C17</f>
        <v>0.8333333333</v>
      </c>
      <c r="D18" t="str">
        <f>Results!E17</f>
        <v>France</v>
      </c>
      <c r="E18" s="9">
        <v>2.0</v>
      </c>
      <c r="F18" s="9">
        <v>0.0</v>
      </c>
      <c r="G18" t="str">
        <f>Results!H17</f>
        <v>Senegal</v>
      </c>
      <c r="H18">
        <f t="shared" si="1"/>
        <v>2</v>
      </c>
      <c r="I18">
        <f>if(Results!I17="-",0,IF(OR(AND(H18&gt;0,Results!J17&gt;0),AND(H18&lt;0,Results!J17&lt;0),AND(H18=0,Results!J17=0)),1,0))</f>
        <v>1</v>
      </c>
      <c r="J18">
        <f>IF(K18="-",0,if(K18=Results!I17,3,0))</f>
        <v>0</v>
      </c>
      <c r="K18" t="str">
        <f t="shared" si="2"/>
        <v>2-0</v>
      </c>
      <c r="L18">
        <f t="shared" si="3"/>
        <v>1</v>
      </c>
    </row>
    <row r="19">
      <c r="A19">
        <f>Results!A18</f>
        <v>3</v>
      </c>
      <c r="B19" s="14">
        <f>Results!B18</f>
        <v>46189</v>
      </c>
      <c r="C19" s="15">
        <f>Results!C18</f>
        <v>0.9583333333</v>
      </c>
      <c r="D19" t="str">
        <f>Results!E18</f>
        <v>Iraq</v>
      </c>
      <c r="E19" s="9">
        <v>0.0</v>
      </c>
      <c r="F19" s="9">
        <v>2.0</v>
      </c>
      <c r="G19" t="str">
        <f>Results!H18</f>
        <v>Norway</v>
      </c>
      <c r="H19">
        <f t="shared" si="1"/>
        <v>-2</v>
      </c>
      <c r="I19">
        <f>if(Results!I18="-",0,IF(OR(AND(H19&gt;0,Results!J18&gt;0),AND(H19&lt;0,Results!J18&lt;0),AND(H19=0,Results!J18=0)),1,0))</f>
        <v>1</v>
      </c>
      <c r="J19">
        <f>IF(K19="-",0,if(K19=Results!I18,3,0))</f>
        <v>0</v>
      </c>
      <c r="K19" t="str">
        <f t="shared" si="2"/>
        <v>0-2</v>
      </c>
      <c r="L19">
        <f t="shared" si="3"/>
        <v>1</v>
      </c>
    </row>
    <row r="20">
      <c r="A20">
        <f>Results!A19</f>
        <v>4</v>
      </c>
      <c r="B20" s="14">
        <f>Results!B19</f>
        <v>46190</v>
      </c>
      <c r="C20" s="15">
        <f>Results!C19</f>
        <v>0.08333333333</v>
      </c>
      <c r="D20" t="str">
        <f>Results!E19</f>
        <v>Argentina</v>
      </c>
      <c r="E20" s="9">
        <v>1.0</v>
      </c>
      <c r="F20" s="9">
        <v>1.0</v>
      </c>
      <c r="G20" t="str">
        <f>Results!H19</f>
        <v>Algeria</v>
      </c>
      <c r="H20">
        <f t="shared" si="1"/>
        <v>0</v>
      </c>
      <c r="I20">
        <f>if(Results!I19="-",0,IF(OR(AND(H20&gt;0,Results!J19&gt;0),AND(H20&lt;0,Results!J19&lt;0),AND(H20=0,Results!J19=0)),1,0))</f>
        <v>0</v>
      </c>
      <c r="J20">
        <f>IF(K20="-",0,if(K20=Results!I19,3,0))</f>
        <v>0</v>
      </c>
      <c r="K20" t="str">
        <f t="shared" si="2"/>
        <v>1-1</v>
      </c>
      <c r="L20">
        <f t="shared" si="3"/>
        <v>0</v>
      </c>
    </row>
    <row r="21">
      <c r="A21">
        <f>Results!A20</f>
        <v>4</v>
      </c>
      <c r="B21" s="14">
        <f>Results!B20</f>
        <v>46190</v>
      </c>
      <c r="C21" s="15">
        <f>Results!C20</f>
        <v>0.2083333333</v>
      </c>
      <c r="D21" t="str">
        <f>Results!E20</f>
        <v>Austria</v>
      </c>
      <c r="E21" s="9">
        <v>1.0</v>
      </c>
      <c r="F21" s="9">
        <v>0.0</v>
      </c>
      <c r="G21" t="str">
        <f>Results!H20</f>
        <v>Jordan</v>
      </c>
      <c r="H21">
        <f t="shared" si="1"/>
        <v>1</v>
      </c>
      <c r="I21">
        <f>if(Results!I20="-",0,IF(OR(AND(H21&gt;0,Results!J20&gt;0),AND(H21&lt;0,Results!J20&lt;0),AND(H21=0,Results!J20=0)),1,0))</f>
        <v>1</v>
      </c>
      <c r="J21">
        <f>IF(K21="-",0,if(K21=Results!I20,3,0))</f>
        <v>0</v>
      </c>
      <c r="K21" t="str">
        <f t="shared" si="2"/>
        <v>1-0</v>
      </c>
      <c r="L21">
        <f t="shared" si="3"/>
        <v>1</v>
      </c>
    </row>
    <row r="22">
      <c r="A22">
        <f>Results!A21</f>
        <v>4</v>
      </c>
      <c r="B22" s="14">
        <f>Results!B21</f>
        <v>46190</v>
      </c>
      <c r="C22" s="15">
        <f>Results!C21</f>
        <v>0.75</v>
      </c>
      <c r="D22" t="str">
        <f>Results!E21</f>
        <v>Portugal</v>
      </c>
      <c r="E22" s="9">
        <v>3.0</v>
      </c>
      <c r="F22" s="9">
        <v>0.0</v>
      </c>
      <c r="G22" t="str">
        <f>Results!H21</f>
        <v>Congo DR</v>
      </c>
      <c r="H22">
        <f t="shared" si="1"/>
        <v>3</v>
      </c>
      <c r="I22">
        <f>if(Results!I21="-",0,IF(OR(AND(H22&gt;0,Results!J21&gt;0),AND(H22&lt;0,Results!J21&lt;0),AND(H22=0,Results!J21=0)),1,0))</f>
        <v>0</v>
      </c>
      <c r="J22">
        <f>IF(K22="-",0,if(K22=Results!I21,3,0))</f>
        <v>0</v>
      </c>
      <c r="K22" t="str">
        <f t="shared" si="2"/>
        <v>3-0</v>
      </c>
      <c r="L22">
        <f t="shared" si="3"/>
        <v>0</v>
      </c>
    </row>
    <row r="23">
      <c r="A23">
        <f>Results!A22</f>
        <v>4</v>
      </c>
      <c r="B23" s="14">
        <f>Results!B22</f>
        <v>46190</v>
      </c>
      <c r="C23" s="15">
        <f>Results!C22</f>
        <v>0.875</v>
      </c>
      <c r="D23" t="str">
        <f>Results!E22</f>
        <v>England</v>
      </c>
      <c r="E23" s="9">
        <v>2.0</v>
      </c>
      <c r="F23" s="9">
        <v>0.0</v>
      </c>
      <c r="G23" t="str">
        <f>Results!H22</f>
        <v>Croatia</v>
      </c>
      <c r="H23">
        <f t="shared" si="1"/>
        <v>2</v>
      </c>
      <c r="I23">
        <f>if(Results!I22="-",0,IF(OR(AND(H23&gt;0,Results!J22&gt;0),AND(H23&lt;0,Results!J22&lt;0),AND(H23=0,Results!J22=0)),1,0))</f>
        <v>1</v>
      </c>
      <c r="J23">
        <f>IF(K23="-",0,if(K23=Results!I22,3,0))</f>
        <v>0</v>
      </c>
      <c r="K23" t="str">
        <f t="shared" si="2"/>
        <v>2-0</v>
      </c>
      <c r="L23">
        <f t="shared" si="3"/>
        <v>1</v>
      </c>
    </row>
    <row r="24">
      <c r="A24">
        <f>Results!A23</f>
        <v>5</v>
      </c>
      <c r="B24" s="14">
        <f>Results!B23</f>
        <v>46191</v>
      </c>
      <c r="C24" s="15">
        <f>Results!C23</f>
        <v>0</v>
      </c>
      <c r="D24" t="str">
        <f>Results!E23</f>
        <v>Ghana</v>
      </c>
      <c r="E24" s="9">
        <v>1.0</v>
      </c>
      <c r="F24" s="9">
        <v>1.0</v>
      </c>
      <c r="G24" t="str">
        <f>Results!H23</f>
        <v>Panama</v>
      </c>
      <c r="H24">
        <f t="shared" si="1"/>
        <v>0</v>
      </c>
      <c r="I24">
        <f>if(Results!I23="-",0,IF(OR(AND(H24&gt;0,Results!J23&gt;0),AND(H24&lt;0,Results!J23&lt;0),AND(H24=0,Results!J23=0)),1,0))</f>
        <v>0</v>
      </c>
      <c r="J24">
        <f>IF(K24="-",0,if(K24=Results!I23,3,0))</f>
        <v>0</v>
      </c>
      <c r="K24" t="str">
        <f t="shared" si="2"/>
        <v>1-1</v>
      </c>
      <c r="L24">
        <f t="shared" si="3"/>
        <v>0</v>
      </c>
    </row>
    <row r="25">
      <c r="A25">
        <f>Results!A24</f>
        <v>5</v>
      </c>
      <c r="B25" s="14">
        <f>Results!B24</f>
        <v>46191</v>
      </c>
      <c r="C25" s="15">
        <f>Results!C24</f>
        <v>0.125</v>
      </c>
      <c r="D25" t="str">
        <f>Results!E24</f>
        <v>Uzbekistan</v>
      </c>
      <c r="E25" s="9">
        <v>1.0</v>
      </c>
      <c r="F25" s="9">
        <v>2.0</v>
      </c>
      <c r="G25" t="str">
        <f>Results!H24</f>
        <v>Colombia</v>
      </c>
      <c r="H25">
        <f t="shared" si="1"/>
        <v>-1</v>
      </c>
      <c r="I25">
        <f>if(Results!I24="-",0,IF(OR(AND(H25&gt;0,Results!J24&gt;0),AND(H25&lt;0,Results!J24&lt;0),AND(H25=0,Results!J24=0)),1,0))</f>
        <v>1</v>
      </c>
      <c r="J25">
        <f>IF(K25="-",0,if(K25=Results!I24,3,0))</f>
        <v>0</v>
      </c>
      <c r="K25" t="str">
        <f t="shared" si="2"/>
        <v>1-2</v>
      </c>
      <c r="L25">
        <f t="shared" si="3"/>
        <v>1</v>
      </c>
    </row>
    <row r="26">
      <c r="A26">
        <f>Results!A25</f>
        <v>5</v>
      </c>
      <c r="B26" s="14">
        <f>Results!B25</f>
        <v>46191</v>
      </c>
      <c r="C26" s="15">
        <f>Results!C25</f>
        <v>0.7083333333</v>
      </c>
      <c r="D26" t="str">
        <f>Results!E25</f>
        <v>Czechia</v>
      </c>
      <c r="E26" s="9">
        <v>1.0</v>
      </c>
      <c r="F26" s="9">
        <v>1.0</v>
      </c>
      <c r="G26" t="str">
        <f>Results!H25</f>
        <v>South Africa</v>
      </c>
      <c r="H26">
        <f t="shared" si="1"/>
        <v>0</v>
      </c>
      <c r="I26">
        <f>if(Results!I25="-",0,IF(OR(AND(H26&gt;0,Results!J25&gt;0),AND(H26&lt;0,Results!J25&lt;0),AND(H26=0,Results!J25=0)),1,0))</f>
        <v>1</v>
      </c>
      <c r="J26">
        <f>IF(K26="-",0,if(K26=Results!I25,3,0))</f>
        <v>3</v>
      </c>
      <c r="K26" t="str">
        <f t="shared" si="2"/>
        <v>1-1</v>
      </c>
      <c r="L26">
        <f t="shared" si="3"/>
        <v>3</v>
      </c>
    </row>
    <row r="27">
      <c r="A27">
        <f>Results!A26</f>
        <v>5</v>
      </c>
      <c r="B27" s="14">
        <f>Results!B26</f>
        <v>46191</v>
      </c>
      <c r="C27" s="15">
        <f>Results!C26</f>
        <v>0.8333333333</v>
      </c>
      <c r="D27" t="str">
        <f>Results!E26</f>
        <v>Switzerland</v>
      </c>
      <c r="E27" s="9">
        <v>2.0</v>
      </c>
      <c r="F27" s="9">
        <v>1.0</v>
      </c>
      <c r="G27" t="str">
        <f>Results!H26</f>
        <v>Bosnia and Herzegovina</v>
      </c>
      <c r="H27">
        <f t="shared" si="1"/>
        <v>1</v>
      </c>
      <c r="I27">
        <f>if(Results!I26="-",0,IF(OR(AND(H27&gt;0,Results!J26&gt;0),AND(H27&lt;0,Results!J26&lt;0),AND(H27=0,Results!J26=0)),1,0))</f>
        <v>1</v>
      </c>
      <c r="J27">
        <f>IF(K27="-",0,if(K27=Results!I26,3,0))</f>
        <v>0</v>
      </c>
      <c r="K27" t="str">
        <f t="shared" si="2"/>
        <v>2-1</v>
      </c>
      <c r="L27">
        <f t="shared" si="3"/>
        <v>1</v>
      </c>
    </row>
    <row r="28">
      <c r="A28">
        <f>Results!A27</f>
        <v>5</v>
      </c>
      <c r="B28" s="14">
        <f>Results!B27</f>
        <v>46191</v>
      </c>
      <c r="C28" s="15">
        <f>Results!C27</f>
        <v>0.9583333333</v>
      </c>
      <c r="D28" t="str">
        <f>Results!E27</f>
        <v>Canada</v>
      </c>
      <c r="E28" s="9">
        <v>1.0</v>
      </c>
      <c r="F28" s="9">
        <v>0.0</v>
      </c>
      <c r="G28" t="str">
        <f>Results!H27</f>
        <v>Qatar</v>
      </c>
      <c r="H28">
        <f t="shared" si="1"/>
        <v>1</v>
      </c>
      <c r="I28">
        <f>if(Results!I27="-",0,IF(OR(AND(H28&gt;0,Results!J27&gt;0),AND(H28&lt;0,Results!J27&lt;0),AND(H28=0,Results!J27=0)),1,0))</f>
        <v>1</v>
      </c>
      <c r="J28">
        <f>IF(K28="-",0,if(K28=Results!I27,3,0))</f>
        <v>0</v>
      </c>
      <c r="K28" t="str">
        <f t="shared" si="2"/>
        <v>1-0</v>
      </c>
      <c r="L28">
        <f t="shared" si="3"/>
        <v>1</v>
      </c>
    </row>
    <row r="29">
      <c r="A29">
        <f>Results!A28</f>
        <v>6</v>
      </c>
      <c r="B29" s="14">
        <f>Results!B28</f>
        <v>46192</v>
      </c>
      <c r="C29" s="15">
        <f>Results!C28</f>
        <v>0.08333333333</v>
      </c>
      <c r="D29" t="str">
        <f>Results!E28</f>
        <v>Mexico</v>
      </c>
      <c r="E29" s="9">
        <v>1.0</v>
      </c>
      <c r="F29" s="9">
        <v>1.0</v>
      </c>
      <c r="G29" t="str">
        <f>Results!H28</f>
        <v>South Korea</v>
      </c>
      <c r="H29">
        <f t="shared" si="1"/>
        <v>0</v>
      </c>
      <c r="I29">
        <f>if(Results!I28="-",0,IF(OR(AND(H29&gt;0,Results!J28&gt;0),AND(H29&lt;0,Results!J28&lt;0),AND(H29=0,Results!J28=0)),1,0))</f>
        <v>0</v>
      </c>
      <c r="J29">
        <f>IF(K29="-",0,if(K29=Results!I28,3,0))</f>
        <v>0</v>
      </c>
      <c r="K29" t="str">
        <f t="shared" si="2"/>
        <v>1-1</v>
      </c>
      <c r="L29">
        <f t="shared" si="3"/>
        <v>0</v>
      </c>
    </row>
    <row r="30">
      <c r="A30">
        <f>Results!A29</f>
        <v>6</v>
      </c>
      <c r="B30" s="14">
        <f>Results!B29</f>
        <v>46192</v>
      </c>
      <c r="C30" s="15">
        <f>Results!C29</f>
        <v>0.8333333333</v>
      </c>
      <c r="D30" t="str">
        <f>Results!E29</f>
        <v>USA</v>
      </c>
      <c r="E30" s="9">
        <v>2.0</v>
      </c>
      <c r="F30" s="9">
        <v>2.0</v>
      </c>
      <c r="G30" t="str">
        <f>Results!H29</f>
        <v>Australia</v>
      </c>
      <c r="H30">
        <f t="shared" si="1"/>
        <v>0</v>
      </c>
      <c r="I30">
        <f>if(Results!I29="-",0,IF(OR(AND(H30&gt;0,Results!J29&gt;0),AND(H30&lt;0,Results!J29&lt;0),AND(H30=0,Results!J29=0)),1,0))</f>
        <v>0</v>
      </c>
      <c r="J30">
        <f>IF(K30="-",0,if(K30=Results!I29,3,0))</f>
        <v>0</v>
      </c>
      <c r="K30" t="str">
        <f t="shared" si="2"/>
        <v>2-2</v>
      </c>
      <c r="L30">
        <f t="shared" si="3"/>
        <v>0</v>
      </c>
    </row>
    <row r="31">
      <c r="A31">
        <f>Results!A30</f>
        <v>6</v>
      </c>
      <c r="B31" s="14">
        <f>Results!B30</f>
        <v>46192</v>
      </c>
      <c r="C31" s="15">
        <f>Results!C30</f>
        <v>0.9583333333</v>
      </c>
      <c r="D31" t="str">
        <f>Results!E30</f>
        <v>Scotland</v>
      </c>
      <c r="E31" s="9">
        <v>0.0</v>
      </c>
      <c r="F31" s="9">
        <v>2.0</v>
      </c>
      <c r="G31" t="str">
        <f>Results!H30</f>
        <v>Morocco</v>
      </c>
      <c r="H31">
        <f t="shared" si="1"/>
        <v>-2</v>
      </c>
      <c r="I31">
        <f>if(Results!I30="-",0,IF(OR(AND(H31&gt;0,Results!J30&gt;0),AND(H31&lt;0,Results!J30&lt;0),AND(H31=0,Results!J30=0)),1,0))</f>
        <v>1</v>
      </c>
      <c r="J31">
        <f>IF(K31="-",0,if(K31=Results!I30,3,0))</f>
        <v>0</v>
      </c>
      <c r="K31" t="str">
        <f t="shared" si="2"/>
        <v>0-2</v>
      </c>
      <c r="L31">
        <f t="shared" si="3"/>
        <v>1</v>
      </c>
    </row>
    <row r="32">
      <c r="A32">
        <f>Results!A31</f>
        <v>7</v>
      </c>
      <c r="B32" s="14">
        <f>Results!B31</f>
        <v>46193</v>
      </c>
      <c r="C32" s="15">
        <f>Results!C31</f>
        <v>0.0625</v>
      </c>
      <c r="D32" t="str">
        <f>Results!E31</f>
        <v>Brazil</v>
      </c>
      <c r="E32" s="9">
        <v>3.0</v>
      </c>
      <c r="F32" s="9">
        <v>0.0</v>
      </c>
      <c r="G32" t="str">
        <f>Results!H31</f>
        <v>Haiti</v>
      </c>
      <c r="H32">
        <f t="shared" si="1"/>
        <v>3</v>
      </c>
      <c r="I32">
        <f>if(Results!I31="-",0,IF(OR(AND(H32&gt;0,Results!J31&gt;0),AND(H32&lt;0,Results!J31&lt;0),AND(H32=0,Results!J31=0)),1,0))</f>
        <v>1</v>
      </c>
      <c r="J32">
        <f>IF(K32="-",0,if(K32=Results!I31,3,0))</f>
        <v>3</v>
      </c>
      <c r="K32" t="str">
        <f t="shared" si="2"/>
        <v>3-0</v>
      </c>
      <c r="L32">
        <f t="shared" si="3"/>
        <v>3</v>
      </c>
    </row>
    <row r="33">
      <c r="A33">
        <f>Results!A32</f>
        <v>7</v>
      </c>
      <c r="B33" s="14">
        <f>Results!B32</f>
        <v>46193</v>
      </c>
      <c r="C33" s="15">
        <f>Results!C32</f>
        <v>0.1666666667</v>
      </c>
      <c r="D33" t="str">
        <f>Results!E32</f>
        <v>Turkey</v>
      </c>
      <c r="E33" s="9">
        <v>1.0</v>
      </c>
      <c r="F33" s="9">
        <v>0.0</v>
      </c>
      <c r="G33" t="str">
        <f>Results!H32</f>
        <v>Paraguay</v>
      </c>
      <c r="H33">
        <f t="shared" si="1"/>
        <v>1</v>
      </c>
      <c r="I33">
        <f>if(Results!I32="-",0,IF(OR(AND(H33&gt;0,Results!J32&gt;0),AND(H33&lt;0,Results!J32&lt;0),AND(H33=0,Results!J32=0)),1,0))</f>
        <v>0</v>
      </c>
      <c r="J33">
        <f>IF(K33="-",0,if(K33=Results!I32,3,0))</f>
        <v>0</v>
      </c>
      <c r="K33" t="str">
        <f t="shared" si="2"/>
        <v>1-0</v>
      </c>
      <c r="L33">
        <f t="shared" si="3"/>
        <v>0</v>
      </c>
    </row>
    <row r="34">
      <c r="A34">
        <f>Results!A33</f>
        <v>7</v>
      </c>
      <c r="B34" s="14">
        <f>Results!B33</f>
        <v>46193</v>
      </c>
      <c r="C34" s="15">
        <f>Results!C33</f>
        <v>0.75</v>
      </c>
      <c r="D34" t="str">
        <f>Results!E33</f>
        <v>Netherlands</v>
      </c>
      <c r="G34" t="str">
        <f>Results!H33</f>
        <v>Sweden</v>
      </c>
      <c r="H34">
        <f t="shared" si="1"/>
        <v>0</v>
      </c>
      <c r="I34">
        <f>if(Results!I33="-",0,IF(OR(AND(H34&gt;0,Results!J33&gt;0),AND(H34&lt;0,Results!J33&lt;0),AND(H34=0,Results!J33=0)),1,0))</f>
        <v>0</v>
      </c>
      <c r="J34">
        <f>IF(K34="-",0,if(K34=Results!I33,3,0))</f>
        <v>0</v>
      </c>
      <c r="K34" t="str">
        <f t="shared" si="2"/>
        <v>-</v>
      </c>
      <c r="L34">
        <f t="shared" si="3"/>
        <v>0</v>
      </c>
    </row>
    <row r="35">
      <c r="A35">
        <f>Results!A34</f>
        <v>7</v>
      </c>
      <c r="B35" s="14">
        <f>Results!B34</f>
        <v>46193</v>
      </c>
      <c r="C35" s="15">
        <f>Results!C34</f>
        <v>0.875</v>
      </c>
      <c r="D35" t="str">
        <f>Results!E34</f>
        <v>Germany</v>
      </c>
      <c r="G35" t="str">
        <f>Results!H34</f>
        <v>Ivory Coast</v>
      </c>
      <c r="H35">
        <f t="shared" si="1"/>
        <v>0</v>
      </c>
      <c r="I35">
        <f>if(Results!I34="-",0,IF(OR(AND(H35&gt;0,Results!J34&gt;0),AND(H35&lt;0,Results!J34&lt;0),AND(H35=0,Results!J34=0)),1,0))</f>
        <v>0</v>
      </c>
      <c r="J35">
        <f>IF(K35="-",0,if(K35=Results!I34,3,0))</f>
        <v>0</v>
      </c>
      <c r="K35" t="str">
        <f t="shared" si="2"/>
        <v>-</v>
      </c>
      <c r="L35">
        <f t="shared" si="3"/>
        <v>0</v>
      </c>
    </row>
    <row r="36">
      <c r="A36">
        <f>Results!A35</f>
        <v>1</v>
      </c>
      <c r="B36" s="14">
        <f>Results!B35</f>
        <v>46194</v>
      </c>
      <c r="C36" s="15">
        <f>Results!C35</f>
        <v>0.04166666667</v>
      </c>
      <c r="D36" t="str">
        <f>Results!E35</f>
        <v>Ecuador</v>
      </c>
      <c r="G36" t="str">
        <f>Results!H35</f>
        <v>Curaçao</v>
      </c>
      <c r="H36">
        <f t="shared" si="1"/>
        <v>0</v>
      </c>
      <c r="I36">
        <f>if(Results!I35="-",0,IF(OR(AND(H36&gt;0,Results!J35&gt;0),AND(H36&lt;0,Results!J35&lt;0),AND(H36=0,Results!J35=0)),1,0))</f>
        <v>0</v>
      </c>
      <c r="J36">
        <f>IF(K36="-",0,if(K36=Results!I35,3,0))</f>
        <v>0</v>
      </c>
      <c r="K36" t="str">
        <f t="shared" si="2"/>
        <v>-</v>
      </c>
      <c r="L36">
        <f t="shared" si="3"/>
        <v>0</v>
      </c>
    </row>
    <row r="37">
      <c r="A37">
        <f>Results!A36</f>
        <v>1</v>
      </c>
      <c r="B37" s="14">
        <f>Results!B36</f>
        <v>46194</v>
      </c>
      <c r="C37" s="15">
        <f>Results!C36</f>
        <v>0.2083333333</v>
      </c>
      <c r="D37" t="str">
        <f>Results!E36</f>
        <v>Tunisia</v>
      </c>
      <c r="G37" t="str">
        <f>Results!H36</f>
        <v>Japan</v>
      </c>
      <c r="H37">
        <f t="shared" si="1"/>
        <v>0</v>
      </c>
      <c r="I37">
        <f>if(Results!I36="-",0,IF(OR(AND(H37&gt;0,Results!J36&gt;0),AND(H37&lt;0,Results!J36&lt;0),AND(H37=0,Results!J36=0)),1,0))</f>
        <v>0</v>
      </c>
      <c r="J37">
        <f>IF(K37="-",0,if(K37=Results!I36,3,0))</f>
        <v>0</v>
      </c>
      <c r="K37" t="str">
        <f t="shared" si="2"/>
        <v>-</v>
      </c>
      <c r="L37">
        <f t="shared" si="3"/>
        <v>0</v>
      </c>
    </row>
    <row r="38">
      <c r="A38">
        <f>Results!A37</f>
        <v>1</v>
      </c>
      <c r="B38" s="14">
        <f>Results!B37</f>
        <v>46194</v>
      </c>
      <c r="C38" s="15">
        <f>Results!C37</f>
        <v>0.7083333333</v>
      </c>
      <c r="D38" t="str">
        <f>Results!E37</f>
        <v>Spain</v>
      </c>
      <c r="G38" t="str">
        <f>Results!H37</f>
        <v>Saudi Arabia</v>
      </c>
      <c r="H38">
        <f t="shared" si="1"/>
        <v>0</v>
      </c>
      <c r="I38">
        <f>if(Results!I37="-",0,IF(OR(AND(H38&gt;0,Results!J37&gt;0),AND(H38&lt;0,Results!J37&lt;0),AND(H38=0,Results!J37=0)),1,0))</f>
        <v>0</v>
      </c>
      <c r="J38">
        <f>IF(K38="-",0,if(K38=Results!I37,3,0))</f>
        <v>0</v>
      </c>
      <c r="K38" t="str">
        <f t="shared" si="2"/>
        <v>-</v>
      </c>
      <c r="L38">
        <f t="shared" si="3"/>
        <v>0</v>
      </c>
    </row>
    <row r="39">
      <c r="A39">
        <f>Results!A38</f>
        <v>1</v>
      </c>
      <c r="B39" s="14">
        <f>Results!B38</f>
        <v>46194</v>
      </c>
      <c r="C39" s="15">
        <f>Results!C38</f>
        <v>0.8333333333</v>
      </c>
      <c r="D39" t="str">
        <f>Results!E38</f>
        <v>Belgium</v>
      </c>
      <c r="G39" t="str">
        <f>Results!H38</f>
        <v>Iran</v>
      </c>
      <c r="H39">
        <f t="shared" si="1"/>
        <v>0</v>
      </c>
      <c r="I39">
        <f>if(Results!I38="-",0,IF(OR(AND(H39&gt;0,Results!J38&gt;0),AND(H39&lt;0,Results!J38&lt;0),AND(H39=0,Results!J38=0)),1,0))</f>
        <v>0</v>
      </c>
      <c r="J39">
        <f>IF(K39="-",0,if(K39=Results!I38,3,0))</f>
        <v>0</v>
      </c>
      <c r="K39" t="str">
        <f t="shared" si="2"/>
        <v>-</v>
      </c>
      <c r="L39">
        <f t="shared" si="3"/>
        <v>0</v>
      </c>
    </row>
    <row r="40">
      <c r="A40">
        <f>Results!A39</f>
        <v>1</v>
      </c>
      <c r="B40" s="14">
        <f>Results!B39</f>
        <v>46194</v>
      </c>
      <c r="C40" s="15">
        <f>Results!C39</f>
        <v>0.9583333333</v>
      </c>
      <c r="D40" t="str">
        <f>Results!E39</f>
        <v>Uruguay</v>
      </c>
      <c r="G40" t="str">
        <f>Results!H39</f>
        <v>Cape Verde</v>
      </c>
      <c r="H40">
        <f t="shared" si="1"/>
        <v>0</v>
      </c>
      <c r="I40">
        <f>if(Results!I39="-",0,IF(OR(AND(H40&gt;0,Results!J39&gt;0),AND(H40&lt;0,Results!J39&lt;0),AND(H40=0,Results!J39=0)),1,0))</f>
        <v>0</v>
      </c>
      <c r="J40">
        <f>IF(K40="-",0,if(K40=Results!I39,3,0))</f>
        <v>0</v>
      </c>
      <c r="K40" t="str">
        <f t="shared" si="2"/>
        <v>-</v>
      </c>
      <c r="L40">
        <f t="shared" si="3"/>
        <v>0</v>
      </c>
    </row>
    <row r="41">
      <c r="A41">
        <f>Results!A40</f>
        <v>2</v>
      </c>
      <c r="B41" s="14">
        <f>Results!B40</f>
        <v>46195</v>
      </c>
      <c r="C41" s="15">
        <f>Results!C40</f>
        <v>0.08333333333</v>
      </c>
      <c r="D41" t="str">
        <f>Results!E40</f>
        <v>New Zealand</v>
      </c>
      <c r="G41" t="str">
        <f>Results!H40</f>
        <v>Egypt</v>
      </c>
      <c r="H41">
        <f t="shared" si="1"/>
        <v>0</v>
      </c>
      <c r="I41">
        <f>if(Results!I40="-",0,IF(OR(AND(H41&gt;0,Results!J40&gt;0),AND(H41&lt;0,Results!J40&lt;0),AND(H41=0,Results!J40=0)),1,0))</f>
        <v>0</v>
      </c>
      <c r="J41">
        <f>IF(K41="-",0,if(K41=Results!I40,3,0))</f>
        <v>0</v>
      </c>
      <c r="K41" t="str">
        <f t="shared" si="2"/>
        <v>-</v>
      </c>
      <c r="L41">
        <f t="shared" si="3"/>
        <v>0</v>
      </c>
    </row>
    <row r="42">
      <c r="A42">
        <f>Results!A41</f>
        <v>2</v>
      </c>
      <c r="B42" s="14">
        <f>Results!B41</f>
        <v>46195</v>
      </c>
      <c r="C42" s="15">
        <f>Results!C41</f>
        <v>0.7916666667</v>
      </c>
      <c r="D42" t="str">
        <f>Results!E41</f>
        <v>Argentina</v>
      </c>
      <c r="G42" t="str">
        <f>Results!H41</f>
        <v>Austria</v>
      </c>
      <c r="H42">
        <f t="shared" si="1"/>
        <v>0</v>
      </c>
      <c r="I42">
        <f>if(Results!I41="-",0,IF(OR(AND(H42&gt;0,Results!J41&gt;0),AND(H42&lt;0,Results!J41&lt;0),AND(H42=0,Results!J41=0)),1,0))</f>
        <v>0</v>
      </c>
      <c r="J42">
        <f>IF(K42="-",0,if(K42=Results!I41,3,0))</f>
        <v>0</v>
      </c>
      <c r="K42" t="str">
        <f t="shared" si="2"/>
        <v>-</v>
      </c>
      <c r="L42">
        <f t="shared" si="3"/>
        <v>0</v>
      </c>
    </row>
    <row r="43">
      <c r="A43">
        <f>Results!A42</f>
        <v>2</v>
      </c>
      <c r="B43" s="14">
        <f>Results!B42</f>
        <v>46195</v>
      </c>
      <c r="C43" s="15">
        <f>Results!C42</f>
        <v>0.9583333333</v>
      </c>
      <c r="D43" t="str">
        <f>Results!E42</f>
        <v>France</v>
      </c>
      <c r="G43" t="str">
        <f>Results!H42</f>
        <v>Iraq</v>
      </c>
      <c r="H43">
        <f t="shared" si="1"/>
        <v>0</v>
      </c>
      <c r="I43">
        <f>if(Results!I42="-",0,IF(OR(AND(H43&gt;0,Results!J42&gt;0),AND(H43&lt;0,Results!J42&lt;0),AND(H43=0,Results!J42=0)),1,0))</f>
        <v>0</v>
      </c>
      <c r="J43">
        <f>IF(K43="-",0,if(K43=Results!I42,3,0))</f>
        <v>0</v>
      </c>
      <c r="K43" t="str">
        <f t="shared" si="2"/>
        <v>-</v>
      </c>
      <c r="L43">
        <f t="shared" si="3"/>
        <v>0</v>
      </c>
    </row>
    <row r="44">
      <c r="A44">
        <f>Results!A43</f>
        <v>3</v>
      </c>
      <c r="B44" s="14">
        <f>Results!B43</f>
        <v>46196</v>
      </c>
      <c r="C44" s="15">
        <f>Results!C43</f>
        <v>0.08333333333</v>
      </c>
      <c r="D44" t="str">
        <f>Results!E43</f>
        <v>Norway</v>
      </c>
      <c r="G44" t="str">
        <f>Results!H43</f>
        <v>Senegal</v>
      </c>
      <c r="H44">
        <f t="shared" si="1"/>
        <v>0</v>
      </c>
      <c r="I44">
        <f>if(Results!I43="-",0,IF(OR(AND(H44&gt;0,Results!J43&gt;0),AND(H44&lt;0,Results!J43&lt;0),AND(H44=0,Results!J43=0)),1,0))</f>
        <v>0</v>
      </c>
      <c r="J44">
        <f>IF(K44="-",0,if(K44=Results!I43,3,0))</f>
        <v>0</v>
      </c>
      <c r="K44" t="str">
        <f t="shared" si="2"/>
        <v>-</v>
      </c>
      <c r="L44">
        <f t="shared" si="3"/>
        <v>0</v>
      </c>
    </row>
    <row r="45">
      <c r="A45">
        <f>Results!A44</f>
        <v>3</v>
      </c>
      <c r="B45" s="14">
        <f>Results!B44</f>
        <v>46196</v>
      </c>
      <c r="C45" s="15">
        <f>Results!C44</f>
        <v>0.2083333333</v>
      </c>
      <c r="D45" t="str">
        <f>Results!E44</f>
        <v>Jordan</v>
      </c>
      <c r="G45" t="str">
        <f>Results!H44</f>
        <v>Algeria</v>
      </c>
      <c r="H45">
        <f t="shared" si="1"/>
        <v>0</v>
      </c>
      <c r="I45">
        <f>if(Results!I44="-",0,IF(OR(AND(H45&gt;0,Results!J44&gt;0),AND(H45&lt;0,Results!J44&lt;0),AND(H45=0,Results!J44=0)),1,0))</f>
        <v>0</v>
      </c>
      <c r="J45">
        <f>IF(K45="-",0,if(K45=Results!I44,3,0))</f>
        <v>0</v>
      </c>
      <c r="K45" t="str">
        <f t="shared" si="2"/>
        <v>-</v>
      </c>
      <c r="L45">
        <f t="shared" si="3"/>
        <v>0</v>
      </c>
    </row>
    <row r="46">
      <c r="A46">
        <f>Results!A45</f>
        <v>3</v>
      </c>
      <c r="B46" s="14">
        <f>Results!B45</f>
        <v>46196</v>
      </c>
      <c r="C46" s="15">
        <f>Results!C45</f>
        <v>0.7916666667</v>
      </c>
      <c r="D46" t="str">
        <f>Results!E45</f>
        <v>Portugal</v>
      </c>
      <c r="G46" t="str">
        <f>Results!H45</f>
        <v>Uzbekistan</v>
      </c>
      <c r="H46">
        <f t="shared" si="1"/>
        <v>0</v>
      </c>
      <c r="I46">
        <f>if(Results!I45="-",0,IF(OR(AND(H46&gt;0,Results!J45&gt;0),AND(H46&lt;0,Results!J45&lt;0),AND(H46=0,Results!J45=0)),1,0))</f>
        <v>0</v>
      </c>
      <c r="J46">
        <f>IF(K46="-",0,if(K46=Results!I45,3,0))</f>
        <v>0</v>
      </c>
      <c r="K46" t="str">
        <f t="shared" si="2"/>
        <v>-</v>
      </c>
      <c r="L46">
        <f t="shared" si="3"/>
        <v>0</v>
      </c>
    </row>
    <row r="47">
      <c r="A47">
        <f>Results!A46</f>
        <v>3</v>
      </c>
      <c r="B47" s="14">
        <f>Results!B46</f>
        <v>46196</v>
      </c>
      <c r="C47" s="15">
        <f>Results!C46</f>
        <v>0.9166666667</v>
      </c>
      <c r="D47" t="str">
        <f>Results!E46</f>
        <v>England</v>
      </c>
      <c r="G47" t="str">
        <f>Results!H46</f>
        <v>Ghana</v>
      </c>
      <c r="H47">
        <f t="shared" si="1"/>
        <v>0</v>
      </c>
      <c r="I47">
        <f>if(Results!I46="-",0,IF(OR(AND(H47&gt;0,Results!J46&gt;0),AND(H47&lt;0,Results!J46&lt;0),AND(H47=0,Results!J46=0)),1,0))</f>
        <v>0</v>
      </c>
      <c r="J47">
        <f>IF(K47="-",0,if(K47=Results!I46,3,0))</f>
        <v>0</v>
      </c>
      <c r="K47" t="str">
        <f t="shared" si="2"/>
        <v>-</v>
      </c>
      <c r="L47">
        <f t="shared" si="3"/>
        <v>0</v>
      </c>
    </row>
    <row r="48">
      <c r="A48">
        <f>Results!A47</f>
        <v>4</v>
      </c>
      <c r="B48" s="14">
        <f>Results!B47</f>
        <v>46197</v>
      </c>
      <c r="C48" s="15">
        <f>Results!C47</f>
        <v>0.04166666667</v>
      </c>
      <c r="D48" t="str">
        <f>Results!E47</f>
        <v>Panama</v>
      </c>
      <c r="G48" t="str">
        <f>Results!H47</f>
        <v>Croatia</v>
      </c>
      <c r="H48">
        <f t="shared" si="1"/>
        <v>0</v>
      </c>
      <c r="I48">
        <f>if(Results!I47="-",0,IF(OR(AND(H48&gt;0,Results!J47&gt;0),AND(H48&lt;0,Results!J47&lt;0),AND(H48=0,Results!J47=0)),1,0))</f>
        <v>0</v>
      </c>
      <c r="J48">
        <f>IF(K48="-",0,if(K48=Results!I47,3,0))</f>
        <v>0</v>
      </c>
      <c r="K48" t="str">
        <f t="shared" si="2"/>
        <v>-</v>
      </c>
      <c r="L48">
        <f t="shared" si="3"/>
        <v>0</v>
      </c>
    </row>
    <row r="49">
      <c r="A49">
        <f>Results!A48</f>
        <v>4</v>
      </c>
      <c r="B49" s="14">
        <f>Results!B48</f>
        <v>46197</v>
      </c>
      <c r="C49" s="15">
        <f>Results!C48</f>
        <v>0.1666666667</v>
      </c>
      <c r="D49" t="str">
        <f>Results!E48</f>
        <v>Colombia</v>
      </c>
      <c r="G49" t="str">
        <f>Results!H48</f>
        <v>DR Congo</v>
      </c>
      <c r="H49">
        <f t="shared" si="1"/>
        <v>0</v>
      </c>
      <c r="I49">
        <f>if(Results!I48="-",0,IF(OR(AND(H49&gt;0,Results!J48&gt;0),AND(H49&lt;0,Results!J48&lt;0),AND(H49=0,Results!J48=0)),1,0))</f>
        <v>0</v>
      </c>
      <c r="J49">
        <f>IF(K49="-",0,if(K49=Results!I48,3,0))</f>
        <v>0</v>
      </c>
      <c r="K49" t="str">
        <f t="shared" si="2"/>
        <v>-</v>
      </c>
      <c r="L49">
        <f t="shared" si="3"/>
        <v>0</v>
      </c>
    </row>
    <row r="50">
      <c r="A50">
        <f>Results!A49</f>
        <v>4</v>
      </c>
      <c r="B50" s="14">
        <f>Results!B49</f>
        <v>46197</v>
      </c>
      <c r="C50" s="15">
        <f>Results!C49</f>
        <v>0.75</v>
      </c>
      <c r="D50" t="str">
        <f>Results!E49</f>
        <v>Morocco</v>
      </c>
      <c r="G50" t="str">
        <f>Results!H49</f>
        <v>Haiti</v>
      </c>
      <c r="H50">
        <f t="shared" si="1"/>
        <v>0</v>
      </c>
      <c r="I50">
        <f>if(Results!I49="-",0,IF(OR(AND(H50&gt;0,Results!J49&gt;0),AND(H50&lt;0,Results!J49&lt;0),AND(H50=0,Results!J49=0)),1,0))</f>
        <v>0</v>
      </c>
      <c r="J50">
        <f>IF(K50="-",0,if(K50=Results!I49,3,0))</f>
        <v>0</v>
      </c>
      <c r="K50" t="str">
        <f t="shared" si="2"/>
        <v>-</v>
      </c>
      <c r="L50">
        <f t="shared" si="3"/>
        <v>0</v>
      </c>
    </row>
    <row r="51">
      <c r="A51">
        <f>Results!A50</f>
        <v>4</v>
      </c>
      <c r="B51" s="14">
        <f>Results!B50</f>
        <v>46197</v>
      </c>
      <c r="C51" s="15">
        <f>Results!C50</f>
        <v>0.75</v>
      </c>
      <c r="D51" t="str">
        <f>Results!E50</f>
        <v>Scotland</v>
      </c>
      <c r="G51" t="str">
        <f>Results!H50</f>
        <v>Brazil</v>
      </c>
      <c r="H51">
        <f t="shared" si="1"/>
        <v>0</v>
      </c>
      <c r="I51">
        <f>if(Results!I50="-",0,IF(OR(AND(H51&gt;0,Results!J50&gt;0),AND(H51&lt;0,Results!J50&lt;0),AND(H51=0,Results!J50=0)),1,0))</f>
        <v>0</v>
      </c>
      <c r="J51">
        <f>IF(K51="-",0,if(K51=Results!I50,3,0))</f>
        <v>0</v>
      </c>
      <c r="K51" t="str">
        <f t="shared" si="2"/>
        <v>-</v>
      </c>
      <c r="L51">
        <f t="shared" si="3"/>
        <v>0</v>
      </c>
    </row>
    <row r="52">
      <c r="A52">
        <f>Results!A51</f>
        <v>4</v>
      </c>
      <c r="B52" s="14">
        <f>Results!B51</f>
        <v>46197</v>
      </c>
      <c r="C52" s="15">
        <f>Results!C51</f>
        <v>0.875</v>
      </c>
      <c r="D52" t="str">
        <f>Results!E51</f>
        <v>Canada</v>
      </c>
      <c r="G52" t="str">
        <f>Results!H51</f>
        <v>Switzerland</v>
      </c>
      <c r="H52">
        <f t="shared" si="1"/>
        <v>0</v>
      </c>
      <c r="I52">
        <f>if(Results!I51="-",0,IF(OR(AND(H52&gt;0,Results!J51&gt;0),AND(H52&lt;0,Results!J51&lt;0),AND(H52=0,Results!J51=0)),1,0))</f>
        <v>0</v>
      </c>
      <c r="J52">
        <f>IF(K52="-",0,if(K52=Results!I51,3,0))</f>
        <v>0</v>
      </c>
      <c r="K52" t="str">
        <f t="shared" si="2"/>
        <v>-</v>
      </c>
      <c r="L52">
        <f t="shared" si="3"/>
        <v>0</v>
      </c>
    </row>
    <row r="53">
      <c r="A53">
        <f>Results!A52</f>
        <v>4</v>
      </c>
      <c r="B53" s="14">
        <f>Results!B52</f>
        <v>46197</v>
      </c>
      <c r="C53" s="15">
        <f>Results!C52</f>
        <v>0.875</v>
      </c>
      <c r="D53" t="str">
        <f>Results!E52</f>
        <v>Bosnia and Herzegovina</v>
      </c>
      <c r="G53" t="str">
        <f>Results!H52</f>
        <v>Qatar</v>
      </c>
      <c r="H53">
        <f t="shared" si="1"/>
        <v>0</v>
      </c>
      <c r="I53">
        <f>if(Results!I52="-",0,IF(OR(AND(H53&gt;0,Results!J52&gt;0),AND(H53&lt;0,Results!J52&lt;0),AND(H53=0,Results!J52=0)),1,0))</f>
        <v>0</v>
      </c>
      <c r="J53">
        <f>IF(K53="-",0,if(K53=Results!I52,3,0))</f>
        <v>0</v>
      </c>
      <c r="K53" t="str">
        <f t="shared" si="2"/>
        <v>-</v>
      </c>
      <c r="L53">
        <f t="shared" si="3"/>
        <v>0</v>
      </c>
    </row>
    <row r="54">
      <c r="A54">
        <f>Results!A53</f>
        <v>5</v>
      </c>
      <c r="B54" s="14">
        <f>Results!B53</f>
        <v>46198</v>
      </c>
      <c r="C54" s="15">
        <f>Results!C53</f>
        <v>0.08333333333</v>
      </c>
      <c r="D54" t="str">
        <f>Results!E53</f>
        <v>Mexico</v>
      </c>
      <c r="G54" t="str">
        <f>Results!H53</f>
        <v>Czechia</v>
      </c>
      <c r="H54">
        <f t="shared" si="1"/>
        <v>0</v>
      </c>
      <c r="I54">
        <f>if(Results!I53="-",0,IF(OR(AND(H54&gt;0,Results!J53&gt;0),AND(H54&lt;0,Results!J53&lt;0),AND(H54=0,Results!J53=0)),1,0))</f>
        <v>0</v>
      </c>
      <c r="J54">
        <f>IF(K54="-",0,if(K54=Results!I53,3,0))</f>
        <v>0</v>
      </c>
      <c r="K54" t="str">
        <f t="shared" si="2"/>
        <v>-</v>
      </c>
      <c r="L54">
        <f t="shared" si="3"/>
        <v>0</v>
      </c>
    </row>
    <row r="55">
      <c r="A55">
        <f>Results!A54</f>
        <v>5</v>
      </c>
      <c r="B55" s="14">
        <f>Results!B54</f>
        <v>46198</v>
      </c>
      <c r="C55" s="15">
        <f>Results!C54</f>
        <v>0.08333333333</v>
      </c>
      <c r="D55" t="str">
        <f>Results!E54</f>
        <v>South Korea</v>
      </c>
      <c r="G55" t="str">
        <f>Results!H54</f>
        <v>South Africa</v>
      </c>
      <c r="H55">
        <f t="shared" si="1"/>
        <v>0</v>
      </c>
      <c r="I55">
        <f>if(Results!I54="-",0,IF(OR(AND(H55&gt;0,Results!J54&gt;0),AND(H55&lt;0,Results!J54&lt;0),AND(H55=0,Results!J54=0)),1,0))</f>
        <v>0</v>
      </c>
      <c r="J55">
        <f>IF(K55="-",0,if(K55=Results!I54,3,0))</f>
        <v>0</v>
      </c>
      <c r="K55" t="str">
        <f t="shared" si="2"/>
        <v>-</v>
      </c>
      <c r="L55">
        <f t="shared" si="3"/>
        <v>0</v>
      </c>
    </row>
    <row r="56">
      <c r="A56">
        <f>Results!A55</f>
        <v>5</v>
      </c>
      <c r="B56" s="14">
        <f>Results!B55</f>
        <v>46198</v>
      </c>
      <c r="C56" s="15">
        <f>Results!C55</f>
        <v>0.75</v>
      </c>
      <c r="D56" t="str">
        <f>Results!E55</f>
        <v>Ecuador</v>
      </c>
      <c r="G56" t="str">
        <f>Results!H55</f>
        <v>Germany</v>
      </c>
      <c r="H56">
        <f t="shared" si="1"/>
        <v>0</v>
      </c>
      <c r="I56">
        <f>if(Results!I55="-",0,IF(OR(AND(H56&gt;0,Results!J55&gt;0),AND(H56&lt;0,Results!J55&lt;0),AND(H56=0,Results!J55=0)),1,0))</f>
        <v>0</v>
      </c>
      <c r="J56">
        <f>IF(K56="-",0,if(K56=Results!I55,3,0))</f>
        <v>0</v>
      </c>
      <c r="K56" t="str">
        <f t="shared" si="2"/>
        <v>-</v>
      </c>
      <c r="L56">
        <f t="shared" si="3"/>
        <v>0</v>
      </c>
    </row>
    <row r="57">
      <c r="A57">
        <f>Results!A56</f>
        <v>5</v>
      </c>
      <c r="B57" s="14">
        <f>Results!B56</f>
        <v>46198</v>
      </c>
      <c r="C57" s="15">
        <f>Results!C56</f>
        <v>0.75</v>
      </c>
      <c r="D57" t="str">
        <f>Results!E56</f>
        <v>Curaçao</v>
      </c>
      <c r="G57" t="str">
        <f>Results!H56</f>
        <v>Ivory Coast</v>
      </c>
      <c r="H57">
        <f t="shared" si="1"/>
        <v>0</v>
      </c>
      <c r="I57">
        <f>if(Results!I56="-",0,IF(OR(AND(H57&gt;0,Results!J56&gt;0),AND(H57&lt;0,Results!J56&lt;0),AND(H57=0,Results!J56=0)),1,0))</f>
        <v>0</v>
      </c>
      <c r="J57">
        <f>IF(K57="-",0,if(K57=Results!I56,3,0))</f>
        <v>0</v>
      </c>
      <c r="K57" t="str">
        <f t="shared" si="2"/>
        <v>-</v>
      </c>
      <c r="L57">
        <f t="shared" si="3"/>
        <v>0</v>
      </c>
    </row>
    <row r="58">
      <c r="A58">
        <f>Results!A57</f>
        <v>5</v>
      </c>
      <c r="B58" s="14">
        <f>Results!B57</f>
        <v>46198</v>
      </c>
      <c r="C58" s="15">
        <f>Results!C57</f>
        <v>0.875</v>
      </c>
      <c r="D58" t="str">
        <f>Results!E57</f>
        <v>Tunisia</v>
      </c>
      <c r="G58" t="str">
        <f>Results!H57</f>
        <v>Netherlands</v>
      </c>
      <c r="H58">
        <f t="shared" si="1"/>
        <v>0</v>
      </c>
      <c r="I58">
        <f>if(Results!I57="-",0,IF(OR(AND(H58&gt;0,Results!J57&gt;0),AND(H58&lt;0,Results!J57&lt;0),AND(H58=0,Results!J57=0)),1,0))</f>
        <v>0</v>
      </c>
      <c r="J58">
        <f>IF(K58="-",0,if(K58=Results!I57,3,0))</f>
        <v>0</v>
      </c>
      <c r="K58" t="str">
        <f t="shared" si="2"/>
        <v>-</v>
      </c>
      <c r="L58">
        <f t="shared" si="3"/>
        <v>0</v>
      </c>
    </row>
    <row r="59">
      <c r="A59">
        <f>Results!A58</f>
        <v>5</v>
      </c>
      <c r="B59" s="14">
        <f>Results!B58</f>
        <v>46198</v>
      </c>
      <c r="C59" s="15">
        <f>Results!C58</f>
        <v>0.875</v>
      </c>
      <c r="D59" t="str">
        <f>Results!E58</f>
        <v>Japan</v>
      </c>
      <c r="G59" t="str">
        <f>Results!H58</f>
        <v>Sweden</v>
      </c>
      <c r="H59">
        <f t="shared" si="1"/>
        <v>0</v>
      </c>
      <c r="I59">
        <f>if(Results!I58="-",0,IF(OR(AND(H59&gt;0,Results!J58&gt;0),AND(H59&lt;0,Results!J58&lt;0),AND(H59=0,Results!J58=0)),1,0))</f>
        <v>0</v>
      </c>
      <c r="J59">
        <f>IF(K59="-",0,if(K59=Results!I58,3,0))</f>
        <v>0</v>
      </c>
      <c r="K59" t="str">
        <f t="shared" si="2"/>
        <v>-</v>
      </c>
      <c r="L59">
        <f t="shared" si="3"/>
        <v>0</v>
      </c>
    </row>
    <row r="60">
      <c r="A60">
        <f>Results!A59</f>
        <v>6</v>
      </c>
      <c r="B60" s="14">
        <f>Results!B59</f>
        <v>46199</v>
      </c>
      <c r="C60" s="15">
        <f>Results!C59</f>
        <v>0.04166666667</v>
      </c>
      <c r="D60" t="str">
        <f>Results!E59</f>
        <v>USA</v>
      </c>
      <c r="G60" t="str">
        <f>Results!H59</f>
        <v>Türkiye</v>
      </c>
      <c r="H60">
        <f t="shared" si="1"/>
        <v>0</v>
      </c>
      <c r="I60">
        <f>if(Results!I59="-",0,IF(OR(AND(H60&gt;0,Results!J59&gt;0),AND(H60&lt;0,Results!J59&lt;0),AND(H60=0,Results!J59=0)),1,0))</f>
        <v>0</v>
      </c>
      <c r="J60">
        <f>IF(K60="-",0,if(K60=Results!I59,3,0))</f>
        <v>0</v>
      </c>
      <c r="K60" t="str">
        <f t="shared" si="2"/>
        <v>-</v>
      </c>
      <c r="L60">
        <f t="shared" si="3"/>
        <v>0</v>
      </c>
    </row>
    <row r="61">
      <c r="A61">
        <f>Results!A60</f>
        <v>6</v>
      </c>
      <c r="B61" s="14">
        <f>Results!B60</f>
        <v>46199</v>
      </c>
      <c r="C61" s="15">
        <f>Results!C60</f>
        <v>0.04166666667</v>
      </c>
      <c r="D61" t="str">
        <f>Results!E60</f>
        <v>Paraguay</v>
      </c>
      <c r="G61" t="str">
        <f>Results!H60</f>
        <v>Australia</v>
      </c>
      <c r="H61">
        <f t="shared" si="1"/>
        <v>0</v>
      </c>
      <c r="I61">
        <f>if(Results!I60="-",0,IF(OR(AND(H61&gt;0,Results!J60&gt;0),AND(H61&lt;0,Results!J60&lt;0),AND(H61=0,Results!J60=0)),1,0))</f>
        <v>0</v>
      </c>
      <c r="J61">
        <f>IF(K61="-",0,if(K61=Results!I60,3,0))</f>
        <v>0</v>
      </c>
      <c r="K61" t="str">
        <f t="shared" si="2"/>
        <v>-</v>
      </c>
      <c r="L61">
        <f t="shared" si="3"/>
        <v>0</v>
      </c>
    </row>
    <row r="62">
      <c r="A62">
        <f>Results!A61</f>
        <v>6</v>
      </c>
      <c r="B62" s="14">
        <f>Results!B61</f>
        <v>46199</v>
      </c>
      <c r="C62" s="15">
        <f>Results!C61</f>
        <v>0.75</v>
      </c>
      <c r="D62" t="str">
        <f>Results!E61</f>
        <v>Belgium</v>
      </c>
      <c r="G62" t="str">
        <f>Results!H61</f>
        <v>New Zealand</v>
      </c>
      <c r="H62">
        <f t="shared" si="1"/>
        <v>0</v>
      </c>
      <c r="I62">
        <f>if(Results!I61="-",0,IF(OR(AND(H62&gt;0,Results!J61&gt;0),AND(H62&lt;0,Results!J61&lt;0),AND(H62=0,Results!J61=0)),1,0))</f>
        <v>0</v>
      </c>
      <c r="J62">
        <f>IF(K62="-",0,if(K62=Results!I61,3,0))</f>
        <v>0</v>
      </c>
      <c r="K62" t="str">
        <f t="shared" si="2"/>
        <v>-</v>
      </c>
      <c r="L62">
        <f t="shared" si="3"/>
        <v>0</v>
      </c>
    </row>
    <row r="63">
      <c r="A63">
        <f>Results!A62</f>
        <v>6</v>
      </c>
      <c r="B63" s="14">
        <f>Results!B62</f>
        <v>46199</v>
      </c>
      <c r="C63" s="15">
        <f>Results!C62</f>
        <v>0.75</v>
      </c>
      <c r="D63" t="str">
        <f>Results!E62</f>
        <v>Egypt</v>
      </c>
      <c r="G63" t="str">
        <f>Results!H62</f>
        <v>Iran</v>
      </c>
      <c r="H63">
        <f t="shared" si="1"/>
        <v>0</v>
      </c>
      <c r="I63">
        <f>if(Results!I62="-",0,IF(OR(AND(H63&gt;0,Results!J62&gt;0),AND(H63&lt;0,Results!J62&lt;0),AND(H63=0,Results!J62=0)),1,0))</f>
        <v>0</v>
      </c>
      <c r="J63">
        <f>IF(K63="-",0,if(K63=Results!I62,3,0))</f>
        <v>0</v>
      </c>
      <c r="K63" t="str">
        <f t="shared" si="2"/>
        <v>-</v>
      </c>
      <c r="L63">
        <f t="shared" si="3"/>
        <v>0</v>
      </c>
    </row>
    <row r="64">
      <c r="A64">
        <f>Results!A63</f>
        <v>6</v>
      </c>
      <c r="B64" s="14">
        <f>Results!B63</f>
        <v>46199</v>
      </c>
      <c r="C64" s="15">
        <f>Results!C63</f>
        <v>0.875</v>
      </c>
      <c r="D64" t="str">
        <f>Results!E63</f>
        <v>Spain</v>
      </c>
      <c r="G64" t="str">
        <f>Results!H63</f>
        <v>Uruguay</v>
      </c>
      <c r="H64">
        <f t="shared" si="1"/>
        <v>0</v>
      </c>
      <c r="I64">
        <f>if(Results!I63="-",0,IF(OR(AND(H64&gt;0,Results!J63&gt;0),AND(H64&lt;0,Results!J63&lt;0),AND(H64=0,Results!J63=0)),1,0))</f>
        <v>0</v>
      </c>
      <c r="J64">
        <f>IF(K64="-",0,if(K64=Results!I63,3,0))</f>
        <v>0</v>
      </c>
      <c r="K64" t="str">
        <f t="shared" si="2"/>
        <v>-</v>
      </c>
      <c r="L64">
        <f t="shared" si="3"/>
        <v>0</v>
      </c>
    </row>
    <row r="65">
      <c r="A65">
        <f>Results!A64</f>
        <v>6</v>
      </c>
      <c r="B65" s="14">
        <f>Results!B64</f>
        <v>46199</v>
      </c>
      <c r="C65" s="15">
        <f>Results!C64</f>
        <v>0.875</v>
      </c>
      <c r="D65" t="str">
        <f>Results!E64</f>
        <v>Cape Verde</v>
      </c>
      <c r="G65" t="str">
        <f>Results!H64</f>
        <v>Saudi Arabia</v>
      </c>
      <c r="H65">
        <f t="shared" si="1"/>
        <v>0</v>
      </c>
      <c r="I65">
        <f>if(Results!I64="-",0,IF(OR(AND(H65&gt;0,Results!J64&gt;0),AND(H65&lt;0,Results!J64&lt;0),AND(H65=0,Results!J64=0)),1,0))</f>
        <v>0</v>
      </c>
      <c r="J65">
        <f>IF(K65="-",0,if(K65=Results!I64,3,0))</f>
        <v>0</v>
      </c>
      <c r="K65" t="str">
        <f t="shared" si="2"/>
        <v>-</v>
      </c>
      <c r="L65">
        <f t="shared" si="3"/>
        <v>0</v>
      </c>
    </row>
    <row r="66">
      <c r="A66">
        <f>Results!A65</f>
        <v>7</v>
      </c>
      <c r="B66" s="14">
        <f>Results!B65</f>
        <v>46200</v>
      </c>
      <c r="C66" s="15">
        <f>Results!C65</f>
        <v>0.04166666667</v>
      </c>
      <c r="D66" t="str">
        <f>Results!E65</f>
        <v>France</v>
      </c>
      <c r="G66" t="str">
        <f>Results!H65</f>
        <v>Norway</v>
      </c>
      <c r="H66">
        <f t="shared" si="1"/>
        <v>0</v>
      </c>
      <c r="I66">
        <f>if(Results!I65="-",0,IF(OR(AND(H66&gt;0,Results!J65&gt;0),AND(H66&lt;0,Results!J65&lt;0),AND(H66=0,Results!J65=0)),1,0))</f>
        <v>0</v>
      </c>
      <c r="J66">
        <f>IF(K66="-",0,if(K66=Results!I65,3,0))</f>
        <v>0</v>
      </c>
      <c r="K66" t="str">
        <f t="shared" si="2"/>
        <v>-</v>
      </c>
      <c r="L66">
        <f t="shared" si="3"/>
        <v>0</v>
      </c>
    </row>
    <row r="67">
      <c r="A67">
        <f>Results!A66</f>
        <v>7</v>
      </c>
      <c r="B67" s="14">
        <f>Results!B66</f>
        <v>46200</v>
      </c>
      <c r="C67" s="15">
        <f>Results!C66</f>
        <v>0.04166666667</v>
      </c>
      <c r="D67" t="str">
        <f>Results!E66</f>
        <v>Senegal</v>
      </c>
      <c r="G67" t="str">
        <f>Results!H66</f>
        <v>Iraq</v>
      </c>
      <c r="H67">
        <f t="shared" si="1"/>
        <v>0</v>
      </c>
      <c r="I67">
        <f>if(Results!I66="-",0,IF(OR(AND(H67&gt;0,Results!J66&gt;0),AND(H67&lt;0,Results!J66&lt;0),AND(H67=0,Results!J66=0)),1,0))</f>
        <v>0</v>
      </c>
      <c r="J67">
        <f>IF(K67="-",0,if(K67=Results!I66,3,0))</f>
        <v>0</v>
      </c>
      <c r="K67" t="str">
        <f t="shared" si="2"/>
        <v>-</v>
      </c>
      <c r="L67">
        <f t="shared" si="3"/>
        <v>0</v>
      </c>
    </row>
    <row r="68">
      <c r="A68">
        <f>Results!A67</f>
        <v>7</v>
      </c>
      <c r="B68" s="14">
        <f>Results!B67</f>
        <v>46200</v>
      </c>
      <c r="C68" s="15">
        <f>Results!C67</f>
        <v>0.75</v>
      </c>
      <c r="D68" t="str">
        <f>Results!E67</f>
        <v>Jordan</v>
      </c>
      <c r="G68" t="str">
        <f>Results!H67</f>
        <v>Argentina</v>
      </c>
      <c r="H68">
        <f t="shared" si="1"/>
        <v>0</v>
      </c>
      <c r="I68">
        <f>if(Results!I67="-",0,IF(OR(AND(H68&gt;0,Results!J67&gt;0),AND(H68&lt;0,Results!J67&lt;0),AND(H68=0,Results!J67=0)),1,0))</f>
        <v>0</v>
      </c>
      <c r="J68">
        <f>IF(K68="-",0,if(K68=Results!I67,3,0))</f>
        <v>0</v>
      </c>
      <c r="K68" t="str">
        <f t="shared" si="2"/>
        <v>-</v>
      </c>
      <c r="L68">
        <f t="shared" si="3"/>
        <v>0</v>
      </c>
    </row>
    <row r="69">
      <c r="A69">
        <f>Results!A68</f>
        <v>7</v>
      </c>
      <c r="B69" s="14">
        <f>Results!B68</f>
        <v>46200</v>
      </c>
      <c r="C69" s="15">
        <f>Results!C68</f>
        <v>0.75</v>
      </c>
      <c r="D69" t="str">
        <f>Results!E68</f>
        <v>Algeria</v>
      </c>
      <c r="G69" t="str">
        <f>Results!H68</f>
        <v>Austria</v>
      </c>
      <c r="H69">
        <f t="shared" si="1"/>
        <v>0</v>
      </c>
      <c r="I69">
        <f>if(Results!I68="-",0,IF(OR(AND(H69&gt;0,Results!J68&gt;0),AND(H69&lt;0,Results!J68&lt;0),AND(H69=0,Results!J68=0)),1,0))</f>
        <v>0</v>
      </c>
      <c r="J69">
        <f>IF(K69="-",0,if(K69=Results!I68,3,0))</f>
        <v>0</v>
      </c>
      <c r="K69" t="str">
        <f t="shared" si="2"/>
        <v>-</v>
      </c>
      <c r="L69">
        <f t="shared" si="3"/>
        <v>0</v>
      </c>
    </row>
    <row r="70">
      <c r="A70">
        <f>Results!A69</f>
        <v>7</v>
      </c>
      <c r="B70" s="14">
        <f>Results!B69</f>
        <v>46200</v>
      </c>
      <c r="C70" s="15">
        <f>Results!C69</f>
        <v>0.875</v>
      </c>
      <c r="D70" t="str">
        <f>Results!E69</f>
        <v>Colombia</v>
      </c>
      <c r="G70" t="str">
        <f>Results!H69</f>
        <v>Portugal</v>
      </c>
      <c r="H70">
        <f t="shared" si="1"/>
        <v>0</v>
      </c>
      <c r="I70">
        <f>if(Results!I69="-",0,IF(OR(AND(H70&gt;0,Results!J69&gt;0),AND(H70&lt;0,Results!J69&lt;0),AND(H70=0,Results!J69=0)),1,0))</f>
        <v>0</v>
      </c>
      <c r="J70">
        <f>IF(K70="-",0,if(K70=Results!I69,3,0))</f>
        <v>0</v>
      </c>
      <c r="K70" t="str">
        <f t="shared" si="2"/>
        <v>-</v>
      </c>
      <c r="L70">
        <f t="shared" si="3"/>
        <v>0</v>
      </c>
    </row>
    <row r="71">
      <c r="A71">
        <f>Results!A70</f>
        <v>7</v>
      </c>
      <c r="B71" s="14">
        <f>Results!B70</f>
        <v>46200</v>
      </c>
      <c r="C71" s="15">
        <f>Results!C70</f>
        <v>0.875</v>
      </c>
      <c r="D71" t="str">
        <f>Results!E70</f>
        <v>Congo DR</v>
      </c>
      <c r="G71" t="str">
        <f>Results!H70</f>
        <v>Uzbekistan</v>
      </c>
      <c r="H71">
        <f t="shared" si="1"/>
        <v>0</v>
      </c>
      <c r="I71">
        <f>if(Results!I70="-",0,IF(OR(AND(H71&gt;0,Results!J70&gt;0),AND(H71&lt;0,Results!J70&lt;0),AND(H71=0,Results!J70=0)),1,0))</f>
        <v>0</v>
      </c>
      <c r="J71">
        <f>IF(K71="-",0,if(K71=Results!I70,3,0))</f>
        <v>0</v>
      </c>
      <c r="K71" t="str">
        <f t="shared" si="2"/>
        <v>-</v>
      </c>
      <c r="L71">
        <f t="shared" si="3"/>
        <v>0</v>
      </c>
    </row>
    <row r="72">
      <c r="A72">
        <f>Results!A71</f>
        <v>1</v>
      </c>
      <c r="B72" s="14">
        <f>Results!B71</f>
        <v>46201</v>
      </c>
      <c r="C72" s="15">
        <f>Results!C71</f>
        <v>0.04166666667</v>
      </c>
      <c r="D72" t="str">
        <f>Results!E71</f>
        <v>Panama</v>
      </c>
      <c r="G72" t="str">
        <f>Results!H71</f>
        <v>England</v>
      </c>
      <c r="H72">
        <f t="shared" si="1"/>
        <v>0</v>
      </c>
      <c r="I72">
        <f>if(Results!I71="-",0,IF(OR(AND(H72&gt;0,Results!J71&gt;0),AND(H72&lt;0,Results!J71&lt;0),AND(H72=0,Results!J71=0)),1,0))</f>
        <v>0</v>
      </c>
      <c r="J72">
        <f>IF(K72="-",0,if(K72=Results!I71,3,0))</f>
        <v>0</v>
      </c>
      <c r="K72" t="str">
        <f t="shared" si="2"/>
        <v>-</v>
      </c>
      <c r="L72">
        <f t="shared" si="3"/>
        <v>0</v>
      </c>
    </row>
    <row r="73">
      <c r="A73">
        <f>Results!A72</f>
        <v>1</v>
      </c>
      <c r="B73" s="14">
        <f>Results!B72</f>
        <v>46201</v>
      </c>
      <c r="C73" s="15">
        <f>Results!C72</f>
        <v>0.04166666667</v>
      </c>
      <c r="D73" t="str">
        <f>Results!E72</f>
        <v>Croatia</v>
      </c>
      <c r="G73" t="str">
        <f>Results!H72</f>
        <v>Ghana</v>
      </c>
      <c r="H73">
        <f t="shared" si="1"/>
        <v>0</v>
      </c>
      <c r="I73">
        <f>if(Results!I72="-",0,IF(OR(AND(H73&gt;0,Results!J72&gt;0),AND(H73&lt;0,Results!J72&lt;0),AND(H73=0,Results!J72=0)),1,0))</f>
        <v>0</v>
      </c>
      <c r="J73">
        <f>IF(K73="-",0,if(K73=Results!I72,3,0))</f>
        <v>0</v>
      </c>
      <c r="K73" t="str">
        <f t="shared" si="2"/>
        <v>-</v>
      </c>
      <c r="L73">
        <f t="shared" si="3"/>
        <v>0</v>
      </c>
    </row>
    <row r="74">
      <c r="A74">
        <f>Results!A73</f>
        <v>1</v>
      </c>
      <c r="B74" s="14">
        <f>Results!B73</f>
        <v>46201</v>
      </c>
      <c r="C74" s="15">
        <f>Results!C73</f>
        <v>0.75</v>
      </c>
      <c r="D74" t="str">
        <f>Results!E73</f>
        <v>Winner Group A</v>
      </c>
      <c r="G74" t="str">
        <f>Results!H73</f>
        <v>3rd Place Group C/D/E</v>
      </c>
      <c r="H74">
        <f t="shared" si="1"/>
        <v>0</v>
      </c>
      <c r="I74">
        <f>if(Results!I73="-",0,IF(OR(AND(H74&gt;0,Results!J73&gt;0),AND(H74&lt;0,Results!J73&lt;0),AND(H74=0,Results!J73=0)),1,0))</f>
        <v>0</v>
      </c>
      <c r="J74">
        <f>IF(K74="-",0,if(K74=Results!I73,3,0))</f>
        <v>0</v>
      </c>
      <c r="K74" t="str">
        <f t="shared" si="2"/>
        <v>-</v>
      </c>
      <c r="L74">
        <f t="shared" si="3"/>
        <v>0</v>
      </c>
    </row>
    <row r="75">
      <c r="A75">
        <f>Results!A74</f>
        <v>1</v>
      </c>
      <c r="B75" s="14">
        <f>Results!B74</f>
        <v>46201</v>
      </c>
      <c r="C75" s="15">
        <f>Results!C74</f>
        <v>0.8958333333</v>
      </c>
      <c r="D75" t="str">
        <f>Results!E74</f>
        <v>Runner-up Group A</v>
      </c>
      <c r="G75" t="str">
        <f>Results!H74</f>
        <v>Runner-up Group B</v>
      </c>
      <c r="H75">
        <f t="shared" si="1"/>
        <v>0</v>
      </c>
      <c r="I75">
        <f>if(Results!I74="-",0,IF(OR(AND(H75&gt;0,Results!J74&gt;0),AND(H75&lt;0,Results!J74&lt;0),AND(H75=0,Results!J74=0)),1,0))</f>
        <v>0</v>
      </c>
      <c r="J75">
        <f>IF(K75="-",0,if(K75=Results!I74,3,0))</f>
        <v>0</v>
      </c>
      <c r="K75" t="str">
        <f t="shared" si="2"/>
        <v>-</v>
      </c>
      <c r="L75">
        <f t="shared" si="3"/>
        <v>0</v>
      </c>
    </row>
    <row r="76">
      <c r="A76">
        <f>Results!A75</f>
        <v>2</v>
      </c>
      <c r="B76" s="14">
        <f>Results!B75</f>
        <v>46202</v>
      </c>
      <c r="C76" s="15">
        <f>Results!C75</f>
        <v>0.75</v>
      </c>
      <c r="D76" t="str">
        <f>Results!E75</f>
        <v>Winner Group C</v>
      </c>
      <c r="G76" t="str">
        <f>Results!H75</f>
        <v>Runner-up Group D</v>
      </c>
      <c r="H76">
        <f t="shared" si="1"/>
        <v>0</v>
      </c>
      <c r="I76">
        <f>if(Results!I75="-",0,IF(OR(AND(H76&gt;0,Results!J75&gt;0),AND(H76&lt;0,Results!J75&lt;0),AND(H76=0,Results!J75=0)),1,0))</f>
        <v>0</v>
      </c>
      <c r="J76">
        <f>IF(K76="-",0,if(K76=Results!I75,3,0))</f>
        <v>0</v>
      </c>
      <c r="K76" t="str">
        <f t="shared" si="2"/>
        <v>-</v>
      </c>
      <c r="L76">
        <f t="shared" si="3"/>
        <v>0</v>
      </c>
    </row>
    <row r="77">
      <c r="A77">
        <f>Results!A76</f>
        <v>2</v>
      </c>
      <c r="B77" s="14">
        <f>Results!B76</f>
        <v>46202</v>
      </c>
      <c r="C77" s="15">
        <f>Results!C76</f>
        <v>0.8958333333</v>
      </c>
      <c r="D77" t="str">
        <f>Results!E76</f>
        <v>Winner Group E</v>
      </c>
      <c r="G77" t="str">
        <f>Results!H76</f>
        <v>3rd Place Group A/B/C</v>
      </c>
      <c r="H77">
        <f t="shared" si="1"/>
        <v>0</v>
      </c>
      <c r="I77">
        <f>if(Results!I76="-",0,IF(OR(AND(H77&gt;0,Results!J76&gt;0),AND(H77&lt;0,Results!J76&lt;0),AND(H77=0,Results!J76=0)),1,0))</f>
        <v>0</v>
      </c>
      <c r="J77">
        <f>IF(K77="-",0,if(K77=Results!I76,3,0))</f>
        <v>0</v>
      </c>
      <c r="K77" t="str">
        <f t="shared" si="2"/>
        <v>-</v>
      </c>
      <c r="L77">
        <f t="shared" si="3"/>
        <v>0</v>
      </c>
    </row>
    <row r="78">
      <c r="A78">
        <f>Results!A77</f>
        <v>3</v>
      </c>
      <c r="B78" s="14">
        <f>Results!B77</f>
        <v>46203</v>
      </c>
      <c r="C78" s="15">
        <f>Results!C77</f>
        <v>0.75</v>
      </c>
      <c r="D78" t="str">
        <f>Results!E77</f>
        <v>Winner Group F</v>
      </c>
      <c r="G78" t="str">
        <f>Results!H77</f>
        <v>Runner-up Group C</v>
      </c>
      <c r="H78">
        <f t="shared" si="1"/>
        <v>0</v>
      </c>
      <c r="I78">
        <f>if(Results!I77="-",0,IF(OR(AND(H78&gt;0,Results!J77&gt;0),AND(H78&lt;0,Results!J77&lt;0),AND(H78=0,Results!J77=0)),1,0))</f>
        <v>0</v>
      </c>
      <c r="J78">
        <f>IF(K78="-",0,if(K78=Results!I77,3,0))</f>
        <v>0</v>
      </c>
      <c r="K78" t="str">
        <f t="shared" si="2"/>
        <v>-</v>
      </c>
      <c r="L78">
        <f t="shared" si="3"/>
        <v>0</v>
      </c>
    </row>
    <row r="79">
      <c r="A79">
        <f>Results!A78</f>
        <v>3</v>
      </c>
      <c r="B79" s="14">
        <f>Results!B78</f>
        <v>46203</v>
      </c>
      <c r="C79" s="15">
        <f>Results!C78</f>
        <v>0.9166666667</v>
      </c>
      <c r="D79" t="str">
        <f>Results!E78</f>
        <v>Winner Group B</v>
      </c>
      <c r="G79" t="str">
        <f>Results!H78</f>
        <v>3rd Place Group E/F/G</v>
      </c>
      <c r="H79">
        <f t="shared" si="1"/>
        <v>0</v>
      </c>
      <c r="I79">
        <f>if(Results!I78="-",0,IF(OR(AND(H79&gt;0,Results!J78&gt;0),AND(H79&lt;0,Results!J78&lt;0),AND(H79=0,Results!J78=0)),1,0))</f>
        <v>0</v>
      </c>
      <c r="J79">
        <f>IF(K79="-",0,if(K79=Results!I78,3,0))</f>
        <v>0</v>
      </c>
      <c r="K79" t="str">
        <f t="shared" si="2"/>
        <v>-</v>
      </c>
      <c r="L79">
        <f t="shared" si="3"/>
        <v>0</v>
      </c>
    </row>
    <row r="80">
      <c r="A80">
        <f>Results!A79</f>
        <v>4</v>
      </c>
      <c r="B80" s="16">
        <f>Results!B79</f>
        <v>46204</v>
      </c>
      <c r="C80" s="15">
        <f>Results!C79</f>
        <v>0.04166666667</v>
      </c>
      <c r="D80" t="str">
        <f>Results!E79</f>
        <v>Winner Group G</v>
      </c>
      <c r="G80" t="str">
        <f>Results!H79</f>
        <v>Runner-up Group H</v>
      </c>
      <c r="H80">
        <f t="shared" si="1"/>
        <v>0</v>
      </c>
      <c r="I80">
        <f>if(Results!I79="-",0,IF(OR(AND(H80&gt;0,Results!J79&gt;0),AND(H80&lt;0,Results!J79&lt;0),AND(H80=0,Results!J79=0)),1,0))</f>
        <v>0</v>
      </c>
      <c r="J80">
        <f>IF(K80="-",0,if(K80=Results!I79,3,0))</f>
        <v>0</v>
      </c>
      <c r="K80" t="str">
        <f t="shared" si="2"/>
        <v>-</v>
      </c>
      <c r="L80">
        <f t="shared" si="3"/>
        <v>0</v>
      </c>
    </row>
    <row r="81">
      <c r="A81">
        <f>Results!A80</f>
        <v>4</v>
      </c>
      <c r="B81" s="16">
        <f>Results!B80</f>
        <v>46204</v>
      </c>
      <c r="C81" s="15">
        <f>Results!C80</f>
        <v>0.75</v>
      </c>
      <c r="D81" t="str">
        <f>Results!E80</f>
        <v>Winner Group D</v>
      </c>
      <c r="G81" t="str">
        <f>Results!H80</f>
        <v>3rd Place Group I/J/K</v>
      </c>
      <c r="H81">
        <f t="shared" si="1"/>
        <v>0</v>
      </c>
      <c r="I81">
        <f>if(Results!I80="-",0,IF(OR(AND(H81&gt;0,Results!J80&gt;0),AND(H81&lt;0,Results!J80&lt;0),AND(H81=0,Results!J80=0)),1,0))</f>
        <v>0</v>
      </c>
      <c r="J81">
        <f>IF(K81="-",0,if(K81=Results!I80,3,0))</f>
        <v>0</v>
      </c>
      <c r="K81" t="str">
        <f t="shared" si="2"/>
        <v>-</v>
      </c>
      <c r="L81">
        <f t="shared" si="3"/>
        <v>0</v>
      </c>
    </row>
    <row r="82">
      <c r="A82">
        <f>Results!A81</f>
        <v>4</v>
      </c>
      <c r="B82" s="16">
        <f>Results!B81</f>
        <v>46204</v>
      </c>
      <c r="C82" s="15">
        <f>Results!C81</f>
        <v>0.875</v>
      </c>
      <c r="D82" t="str">
        <f>Results!E81</f>
        <v>Winner Group H</v>
      </c>
      <c r="G82" t="str">
        <f>Results!H81</f>
        <v>Runner-up Group G</v>
      </c>
      <c r="H82">
        <f t="shared" si="1"/>
        <v>0</v>
      </c>
      <c r="I82">
        <f>if(Results!I81="-",0,IF(OR(AND(H82&gt;0,Results!J81&gt;0),AND(H82&lt;0,Results!J81&lt;0),AND(H82=0,Results!J81=0)),1,0))</f>
        <v>0</v>
      </c>
      <c r="J82">
        <f>IF(K82="-",0,if(K82=Results!I81,3,0))</f>
        <v>0</v>
      </c>
      <c r="K82" t="str">
        <f t="shared" si="2"/>
        <v>-</v>
      </c>
      <c r="L82">
        <f t="shared" si="3"/>
        <v>0</v>
      </c>
    </row>
    <row r="83">
      <c r="A83">
        <f>Results!A82</f>
        <v>5</v>
      </c>
      <c r="B83" s="16">
        <f>Results!B82</f>
        <v>46205</v>
      </c>
      <c r="C83" s="15">
        <f>Results!C82</f>
        <v>0.04166666667</v>
      </c>
      <c r="D83" t="str">
        <f>Results!E82</f>
        <v>Winner Group I</v>
      </c>
      <c r="G83" t="str">
        <f>Results!H82</f>
        <v>3rd Place Group B/C/F</v>
      </c>
      <c r="H83">
        <f t="shared" si="1"/>
        <v>0</v>
      </c>
      <c r="I83">
        <f>if(Results!I82="-",0,IF(OR(AND(H83&gt;0,Results!J82&gt;0),AND(H83&lt;0,Results!J82&lt;0),AND(H83=0,Results!J82=0)),1,0))</f>
        <v>0</v>
      </c>
      <c r="J83">
        <f>IF(K83="-",0,if(K83=Results!I82,3,0))</f>
        <v>0</v>
      </c>
      <c r="K83" t="str">
        <f t="shared" si="2"/>
        <v>-</v>
      </c>
      <c r="L83">
        <f t="shared" si="3"/>
        <v>0</v>
      </c>
    </row>
    <row r="84">
      <c r="A84">
        <f>Results!A83</f>
        <v>5</v>
      </c>
      <c r="B84" s="16">
        <f>Results!B83</f>
        <v>46205</v>
      </c>
      <c r="C84" s="15">
        <f>Results!C83</f>
        <v>0.75</v>
      </c>
      <c r="D84" t="str">
        <f>Results!E83</f>
        <v>Winner Group J</v>
      </c>
      <c r="G84" t="str">
        <f>Results!H83</f>
        <v>Runner-up Group K</v>
      </c>
      <c r="H84">
        <f t="shared" si="1"/>
        <v>0</v>
      </c>
      <c r="I84">
        <f>if(Results!I83="-",0,IF(OR(AND(H84&gt;0,Results!J83&gt;0),AND(H84&lt;0,Results!J83&lt;0),AND(H84=0,Results!J83=0)),1,0))</f>
        <v>0</v>
      </c>
      <c r="J84">
        <f>IF(K84="-",0,if(K84=Results!I83,3,0))</f>
        <v>0</v>
      </c>
      <c r="K84" t="str">
        <f t="shared" si="2"/>
        <v>-</v>
      </c>
      <c r="L84">
        <f t="shared" si="3"/>
        <v>0</v>
      </c>
    </row>
    <row r="85">
      <c r="A85">
        <f>Results!A84</f>
        <v>5</v>
      </c>
      <c r="B85" s="16">
        <f>Results!B84</f>
        <v>46205</v>
      </c>
      <c r="C85" s="15">
        <f>Results!C84</f>
        <v>0.875</v>
      </c>
      <c r="D85" t="str">
        <f>Results!E84</f>
        <v>Winner Group K</v>
      </c>
      <c r="G85" t="str">
        <f>Results!H84</f>
        <v>Runner-up Group J</v>
      </c>
      <c r="H85">
        <f t="shared" si="1"/>
        <v>0</v>
      </c>
      <c r="I85">
        <f>if(Results!I84="-",0,IF(OR(AND(H85&gt;0,Results!J84&gt;0),AND(H85&lt;0,Results!J84&lt;0),AND(H85=0,Results!J84=0)),1,0))</f>
        <v>0</v>
      </c>
      <c r="J85">
        <f>IF(K85="-",0,if(K85=Results!I84,3,0))</f>
        <v>0</v>
      </c>
      <c r="K85" t="str">
        <f t="shared" si="2"/>
        <v>-</v>
      </c>
      <c r="L85">
        <f t="shared" si="3"/>
        <v>0</v>
      </c>
    </row>
    <row r="86">
      <c r="A86">
        <f>Results!A85</f>
        <v>6</v>
      </c>
      <c r="B86" s="16">
        <f>Results!B85</f>
        <v>46206</v>
      </c>
      <c r="C86" s="15">
        <f>Results!C85</f>
        <v>0.04166666667</v>
      </c>
      <c r="D86" t="str">
        <f>Results!E85</f>
        <v>Winner Group L</v>
      </c>
      <c r="G86" t="str">
        <f>Results!H85</f>
        <v>3rd Place Group A/D/H</v>
      </c>
      <c r="H86">
        <f t="shared" si="1"/>
        <v>0</v>
      </c>
      <c r="I86">
        <f>if(Results!I85="-",0,IF(OR(AND(H86&gt;0,Results!J85&gt;0),AND(H86&lt;0,Results!J85&lt;0),AND(H86=0,Results!J85=0)),1,0))</f>
        <v>0</v>
      </c>
      <c r="J86">
        <f>IF(K86="-",0,if(K86=Results!I85,3,0))</f>
        <v>0</v>
      </c>
      <c r="K86" t="str">
        <f t="shared" si="2"/>
        <v>-</v>
      </c>
      <c r="L86">
        <f t="shared" si="3"/>
        <v>0</v>
      </c>
    </row>
    <row r="87">
      <c r="A87">
        <f>Results!A86</f>
        <v>6</v>
      </c>
      <c r="B87" s="16">
        <f>Results!B86</f>
        <v>46206</v>
      </c>
      <c r="C87" s="15">
        <f>Results!C86</f>
        <v>0.75</v>
      </c>
      <c r="D87" t="str">
        <f>Results!E86</f>
        <v>Runner-up Group D</v>
      </c>
      <c r="G87" t="str">
        <f>Results!H86</f>
        <v>Runner-up Group E</v>
      </c>
      <c r="H87">
        <f t="shared" si="1"/>
        <v>0</v>
      </c>
      <c r="I87">
        <f>if(Results!I86="-",0,IF(OR(AND(H87&gt;0,Results!J86&gt;0),AND(H87&lt;0,Results!J86&lt;0),AND(H87=0,Results!J86=0)),1,0))</f>
        <v>0</v>
      </c>
      <c r="J87">
        <f>IF(K87="-",0,if(K87=Results!I86,3,0))</f>
        <v>0</v>
      </c>
      <c r="K87" t="str">
        <f t="shared" si="2"/>
        <v>-</v>
      </c>
      <c r="L87">
        <f t="shared" si="3"/>
        <v>0</v>
      </c>
    </row>
    <row r="88">
      <c r="A88">
        <f>Results!A87</f>
        <v>6</v>
      </c>
      <c r="B88" s="16">
        <f>Results!B87</f>
        <v>46206</v>
      </c>
      <c r="C88" s="15">
        <f>Results!C87</f>
        <v>0.875</v>
      </c>
      <c r="D88" t="str">
        <f>Results!E87</f>
        <v>Runner-up Group H</v>
      </c>
      <c r="G88" t="str">
        <f>Results!H87</f>
        <v>Runner-up Group I</v>
      </c>
      <c r="H88">
        <f t="shared" si="1"/>
        <v>0</v>
      </c>
      <c r="I88">
        <f>if(Results!I87="-",0,IF(OR(AND(H88&gt;0,Results!J87&gt;0),AND(H88&lt;0,Results!J87&lt;0),AND(H88=0,Results!J87=0)),1,0))</f>
        <v>0</v>
      </c>
      <c r="J88">
        <f>IF(K88="-",0,if(K88=Results!I87,3,0))</f>
        <v>0</v>
      </c>
      <c r="K88" t="str">
        <f t="shared" si="2"/>
        <v>-</v>
      </c>
      <c r="L88">
        <f t="shared" si="3"/>
        <v>0</v>
      </c>
    </row>
    <row r="89">
      <c r="A89">
        <f>Results!A88</f>
        <v>7</v>
      </c>
      <c r="B89" s="16">
        <f>Results!B88</f>
        <v>46207</v>
      </c>
      <c r="C89" s="15">
        <f>Results!C88</f>
        <v>0.04166666667</v>
      </c>
      <c r="D89" t="str">
        <f>Results!E88</f>
        <v>Runner-up Group L</v>
      </c>
      <c r="G89" t="str">
        <f>Results!H88</f>
        <v>Runner-up Group K</v>
      </c>
      <c r="H89">
        <f t="shared" si="1"/>
        <v>0</v>
      </c>
      <c r="I89">
        <f>if(Results!I88="-",0,IF(OR(AND(H89&gt;0,Results!J88&gt;0),AND(H89&lt;0,Results!J88&lt;0),AND(H89=0,Results!J88=0)),1,0))</f>
        <v>0</v>
      </c>
      <c r="J89">
        <f>IF(K89="-",0,if(K89=Results!I88,3,0))</f>
        <v>0</v>
      </c>
      <c r="K89" t="str">
        <f t="shared" si="2"/>
        <v>-</v>
      </c>
      <c r="L89">
        <f t="shared" si="3"/>
        <v>0</v>
      </c>
    </row>
    <row r="90">
      <c r="A90">
        <f>Results!A89</f>
        <v>7</v>
      </c>
      <c r="B90" s="16">
        <f>Results!B89</f>
        <v>46207</v>
      </c>
      <c r="C90" s="15">
        <f>Results!C89</f>
        <v>0.75</v>
      </c>
      <c r="D90" t="str">
        <f>Results!E89</f>
        <v>Winner Match 73</v>
      </c>
      <c r="G90" t="str">
        <f>Results!H89</f>
        <v>Winner Match 74</v>
      </c>
      <c r="H90">
        <f t="shared" si="1"/>
        <v>0</v>
      </c>
      <c r="I90">
        <f>if(Results!I89="-",0,IF(OR(AND(H90&gt;0,Results!J89&gt;0),AND(H90&lt;0,Results!J89&lt;0),AND(H90=0,Results!J89=0)),1,0))</f>
        <v>0</v>
      </c>
      <c r="J90">
        <f>IF(K90="-",0,if(K90=Results!I89,3,0))</f>
        <v>0</v>
      </c>
      <c r="K90" t="str">
        <f t="shared" si="2"/>
        <v>-</v>
      </c>
      <c r="L90">
        <f t="shared" si="3"/>
        <v>0</v>
      </c>
    </row>
    <row r="91">
      <c r="A91">
        <f>Results!A90</f>
        <v>7</v>
      </c>
      <c r="B91" s="16">
        <f>Results!B90</f>
        <v>46207</v>
      </c>
      <c r="C91" s="15">
        <f>Results!C90</f>
        <v>0.8958333333</v>
      </c>
      <c r="D91" t="str">
        <f>Results!E90</f>
        <v>Winner Match 75</v>
      </c>
      <c r="G91" t="str">
        <f>Results!H90</f>
        <v>Winner Match 76</v>
      </c>
      <c r="H91">
        <f t="shared" si="1"/>
        <v>0</v>
      </c>
      <c r="I91">
        <f>if(Results!I90="-",0,IF(OR(AND(H91&gt;0,Results!J90&gt;0),AND(H91&lt;0,Results!J90&lt;0),AND(H91=0,Results!J90=0)),1,0))</f>
        <v>0</v>
      </c>
      <c r="J91">
        <f>IF(K91="-",0,if(K91=Results!I90,3,0))</f>
        <v>0</v>
      </c>
      <c r="K91" t="str">
        <f t="shared" si="2"/>
        <v>-</v>
      </c>
      <c r="L91">
        <f t="shared" si="3"/>
        <v>0</v>
      </c>
    </row>
    <row r="92">
      <c r="A92">
        <f>Results!A91</f>
        <v>1</v>
      </c>
      <c r="B92" s="16">
        <f>Results!B91</f>
        <v>46208</v>
      </c>
      <c r="C92" s="15">
        <f>Results!C91</f>
        <v>0.75</v>
      </c>
      <c r="D92" t="str">
        <f>Results!E91</f>
        <v>Winner Match 77</v>
      </c>
      <c r="G92" t="str">
        <f>Results!H91</f>
        <v>Winner Match 78</v>
      </c>
      <c r="H92">
        <f t="shared" si="1"/>
        <v>0</v>
      </c>
      <c r="I92">
        <f>if(Results!I91="-",0,IF(OR(AND(H92&gt;0,Results!J91&gt;0),AND(H92&lt;0,Results!J91&lt;0),AND(H92=0,Results!J91=0)),1,0))</f>
        <v>0</v>
      </c>
      <c r="J92">
        <f>IF(K92="-",0,if(K92=Results!I91,3,0))</f>
        <v>0</v>
      </c>
      <c r="K92" t="str">
        <f t="shared" si="2"/>
        <v>-</v>
      </c>
      <c r="L92">
        <f t="shared" si="3"/>
        <v>0</v>
      </c>
    </row>
    <row r="93">
      <c r="A93">
        <f>Results!A92</f>
        <v>1</v>
      </c>
      <c r="B93" s="16">
        <f>Results!B92</f>
        <v>46208</v>
      </c>
      <c r="C93" s="15">
        <f>Results!C92</f>
        <v>0.8958333333</v>
      </c>
      <c r="D93" t="str">
        <f>Results!E92</f>
        <v>Winner Match 79</v>
      </c>
      <c r="G93" t="str">
        <f>Results!H92</f>
        <v>Winner Match 80</v>
      </c>
      <c r="H93">
        <f t="shared" si="1"/>
        <v>0</v>
      </c>
      <c r="I93">
        <f>if(Results!I92="-",0,IF(OR(AND(H93&gt;0,Results!J92&gt;0),AND(H93&lt;0,Results!J92&lt;0),AND(H93=0,Results!J92=0)),1,0))</f>
        <v>0</v>
      </c>
      <c r="J93">
        <f>IF(K93="-",0,if(K93=Results!I92,3,0))</f>
        <v>0</v>
      </c>
      <c r="K93" t="str">
        <f t="shared" si="2"/>
        <v>-</v>
      </c>
      <c r="L93">
        <f t="shared" si="3"/>
        <v>0</v>
      </c>
    </row>
    <row r="94">
      <c r="A94">
        <f>Results!A93</f>
        <v>2</v>
      </c>
      <c r="B94" s="16">
        <f>Results!B93</f>
        <v>46209</v>
      </c>
      <c r="C94" s="15">
        <f>Results!C93</f>
        <v>0.75</v>
      </c>
      <c r="D94" t="str">
        <f>Results!E93</f>
        <v>Winner Match 81</v>
      </c>
      <c r="G94" t="str">
        <f>Results!H93</f>
        <v>Winner Match 82</v>
      </c>
      <c r="H94">
        <f t="shared" si="1"/>
        <v>0</v>
      </c>
      <c r="I94">
        <f>if(Results!I93="-",0,IF(OR(AND(H94&gt;0,Results!J93&gt;0),AND(H94&lt;0,Results!J93&lt;0),AND(H94=0,Results!J93=0)),1,0))</f>
        <v>0</v>
      </c>
      <c r="J94">
        <f>IF(K94="-",0,if(K94=Results!I93,3,0))</f>
        <v>0</v>
      </c>
      <c r="K94" t="str">
        <f t="shared" si="2"/>
        <v>-</v>
      </c>
      <c r="L94">
        <f t="shared" si="3"/>
        <v>0</v>
      </c>
    </row>
    <row r="95">
      <c r="A95">
        <f>Results!A94</f>
        <v>2</v>
      </c>
      <c r="B95" s="16">
        <f>Results!B94</f>
        <v>46209</v>
      </c>
      <c r="C95" s="15">
        <f>Results!C94</f>
        <v>0.8958333333</v>
      </c>
      <c r="D95" t="str">
        <f>Results!E94</f>
        <v>Winner Match 83</v>
      </c>
      <c r="G95" t="str">
        <f>Results!H94</f>
        <v>Winner Match 84</v>
      </c>
      <c r="H95">
        <f t="shared" si="1"/>
        <v>0</v>
      </c>
      <c r="I95">
        <f>if(Results!I94="-",0,IF(OR(AND(H95&gt;0,Results!J94&gt;0),AND(H95&lt;0,Results!J94&lt;0),AND(H95=0,Results!J94=0)),1,0))</f>
        <v>0</v>
      </c>
      <c r="J95">
        <f>IF(K95="-",0,if(K95=Results!I94,3,0))</f>
        <v>0</v>
      </c>
      <c r="K95" t="str">
        <f t="shared" si="2"/>
        <v>-</v>
      </c>
      <c r="L95">
        <f t="shared" si="3"/>
        <v>0</v>
      </c>
    </row>
    <row r="96">
      <c r="A96">
        <f>Results!A95</f>
        <v>3</v>
      </c>
      <c r="B96" s="16">
        <f>Results!B95</f>
        <v>46210</v>
      </c>
      <c r="C96" s="15">
        <f>Results!C95</f>
        <v>0.75</v>
      </c>
      <c r="D96" t="str">
        <f>Results!E95</f>
        <v>Winner Match 85</v>
      </c>
      <c r="G96" t="str">
        <f>Results!H95</f>
        <v>Winner Match 86</v>
      </c>
      <c r="H96">
        <f t="shared" si="1"/>
        <v>0</v>
      </c>
      <c r="I96">
        <f>if(Results!I95="-",0,IF(OR(AND(H96&gt;0,Results!J95&gt;0),AND(H96&lt;0,Results!J95&lt;0),AND(H96=0,Results!J95=0)),1,0))</f>
        <v>0</v>
      </c>
      <c r="J96">
        <f>IF(K96="-",0,if(K96=Results!I95,3,0))</f>
        <v>0</v>
      </c>
      <c r="K96" t="str">
        <f t="shared" si="2"/>
        <v>-</v>
      </c>
      <c r="L96">
        <f t="shared" si="3"/>
        <v>0</v>
      </c>
    </row>
    <row r="97">
      <c r="A97">
        <f>Results!A96</f>
        <v>3</v>
      </c>
      <c r="B97" s="16">
        <f>Results!B96</f>
        <v>46210</v>
      </c>
      <c r="C97" s="15">
        <f>Results!C96</f>
        <v>0.8958333333</v>
      </c>
      <c r="D97" t="str">
        <f>Results!E96</f>
        <v>Winner Match 87</v>
      </c>
      <c r="G97" t="str">
        <f>Results!H96</f>
        <v>Winner Match 88</v>
      </c>
      <c r="H97">
        <f t="shared" si="1"/>
        <v>0</v>
      </c>
      <c r="I97">
        <f>if(Results!I96="-",0,IF(OR(AND(H97&gt;0,Results!J96&gt;0),AND(H97&lt;0,Results!J96&lt;0),AND(H97=0,Results!J96=0)),1,0))</f>
        <v>0</v>
      </c>
      <c r="J97">
        <f>IF(K97="-",0,if(K97=Results!I96,3,0))</f>
        <v>0</v>
      </c>
      <c r="K97" t="str">
        <f t="shared" si="2"/>
        <v>-</v>
      </c>
      <c r="L97">
        <f t="shared" si="3"/>
        <v>0</v>
      </c>
    </row>
    <row r="98">
      <c r="A98">
        <f>Results!A97</f>
        <v>5</v>
      </c>
      <c r="B98" s="16">
        <f>Results!B97</f>
        <v>46212</v>
      </c>
      <c r="C98" s="15">
        <f>Results!C97</f>
        <v>0.8333333333</v>
      </c>
      <c r="D98" t="str">
        <f>Results!E97</f>
        <v>Winner Match 89</v>
      </c>
      <c r="G98" t="str">
        <f>Results!H97</f>
        <v>Winner Match 90</v>
      </c>
      <c r="H98">
        <f t="shared" si="1"/>
        <v>0</v>
      </c>
      <c r="I98">
        <f>if(Results!I97="-",0,IF(OR(AND(H98&gt;0,Results!J97&gt;0),AND(H98&lt;0,Results!J97&lt;0),AND(H98=0,Results!J97=0)),1,0))</f>
        <v>0</v>
      </c>
      <c r="J98">
        <f>IF(K98="-",0,if(K98=Results!I97,3,0))</f>
        <v>0</v>
      </c>
      <c r="K98" t="str">
        <f t="shared" si="2"/>
        <v>-</v>
      </c>
      <c r="L98">
        <f t="shared" si="3"/>
        <v>0</v>
      </c>
    </row>
    <row r="99">
      <c r="A99">
        <f>Results!A98</f>
        <v>6</v>
      </c>
      <c r="B99" s="14">
        <f>Results!B98</f>
        <v>46213</v>
      </c>
      <c r="C99" s="15">
        <f>Results!C98</f>
        <v>0.8333333333</v>
      </c>
      <c r="D99" t="str">
        <f>Results!E98</f>
        <v>Winner Match 91</v>
      </c>
      <c r="G99" t="str">
        <f>Results!H98</f>
        <v>Winner Match 92</v>
      </c>
      <c r="H99">
        <f t="shared" si="1"/>
        <v>0</v>
      </c>
      <c r="I99">
        <f>if(Results!I98="-",0,IF(OR(AND(H99&gt;0,Results!J98&gt;0),AND(H99&lt;0,Results!J98&lt;0),AND(H99=0,Results!J98=0)),1,0))</f>
        <v>0</v>
      </c>
      <c r="J99">
        <f>IF(K99="-",0,if(K99=Results!I98,3,0))</f>
        <v>0</v>
      </c>
      <c r="K99" t="str">
        <f t="shared" si="2"/>
        <v>-</v>
      </c>
      <c r="L99">
        <f t="shared" si="3"/>
        <v>0</v>
      </c>
    </row>
    <row r="100">
      <c r="A100">
        <f>Results!A99</f>
        <v>7</v>
      </c>
      <c r="B100" s="14">
        <f>Results!B99</f>
        <v>46214</v>
      </c>
      <c r="C100" s="15">
        <f>Results!C99</f>
        <v>0.75</v>
      </c>
      <c r="D100" t="str">
        <f>Results!E99</f>
        <v>Winner Match 93</v>
      </c>
      <c r="G100" t="str">
        <f>Results!H99</f>
        <v>Winner Match 94</v>
      </c>
      <c r="H100">
        <f t="shared" si="1"/>
        <v>0</v>
      </c>
      <c r="I100">
        <f>if(Results!I99="-",0,IF(OR(AND(H100&gt;0,Results!J99&gt;0),AND(H100&lt;0,Results!J99&lt;0),AND(H100=0,Results!J99=0)),1,0))</f>
        <v>0</v>
      </c>
      <c r="J100">
        <f>IF(K100="-",0,if(K100=Results!I99,3,0))</f>
        <v>0</v>
      </c>
      <c r="K100" t="str">
        <f t="shared" si="2"/>
        <v>-</v>
      </c>
      <c r="L100">
        <f t="shared" si="3"/>
        <v>0</v>
      </c>
    </row>
    <row r="101">
      <c r="A101">
        <f>Results!A100</f>
        <v>7</v>
      </c>
      <c r="B101" s="14">
        <f>Results!B100</f>
        <v>46214</v>
      </c>
      <c r="C101" s="15">
        <f>Results!C100</f>
        <v>0.8958333333</v>
      </c>
      <c r="D101" t="str">
        <f>Results!E100</f>
        <v>Winner Match 95</v>
      </c>
      <c r="G101" t="str">
        <f>Results!H100</f>
        <v>Winner Match 96</v>
      </c>
      <c r="H101">
        <f t="shared" si="1"/>
        <v>0</v>
      </c>
      <c r="I101">
        <f>if(Results!I100="-",0,IF(OR(AND(H101&gt;0,Results!J100&gt;0),AND(H101&lt;0,Results!J100&lt;0),AND(H101=0,Results!J100=0)),1,0))</f>
        <v>0</v>
      </c>
      <c r="J101">
        <f>IF(K101="-",0,if(K101=Results!I100,3,0))</f>
        <v>0</v>
      </c>
      <c r="K101" t="str">
        <f t="shared" si="2"/>
        <v>-</v>
      </c>
      <c r="L101">
        <f t="shared" si="3"/>
        <v>0</v>
      </c>
    </row>
    <row r="102">
      <c r="A102">
        <f>Results!A101</f>
        <v>3</v>
      </c>
      <c r="B102" s="14">
        <f>Results!B101</f>
        <v>46217</v>
      </c>
      <c r="C102" s="15">
        <f>Results!C101</f>
        <v>0.8333333333</v>
      </c>
      <c r="D102" t="str">
        <f>Results!E101</f>
        <v>Winner Match 97</v>
      </c>
      <c r="G102" t="str">
        <f>Results!H101</f>
        <v>Winner Match 98</v>
      </c>
      <c r="H102">
        <f t="shared" si="1"/>
        <v>0</v>
      </c>
      <c r="I102">
        <f>if(Results!I101="-",0,IF(OR(AND(H102&gt;0,Results!J101&gt;0),AND(H102&lt;0,Results!J101&lt;0),AND(H102=0,Results!J101=0)),1,0))</f>
        <v>0</v>
      </c>
      <c r="J102">
        <f>IF(K102="-",0,if(K102=Results!I101,3,0))</f>
        <v>0</v>
      </c>
      <c r="K102" t="str">
        <f t="shared" si="2"/>
        <v>-</v>
      </c>
      <c r="L102">
        <f t="shared" si="3"/>
        <v>0</v>
      </c>
    </row>
    <row r="103">
      <c r="A103">
        <f>Results!A102</f>
        <v>4</v>
      </c>
      <c r="B103" s="14">
        <f>Results!B102</f>
        <v>46218</v>
      </c>
      <c r="C103" s="15">
        <f>Results!C102</f>
        <v>0.8333333333</v>
      </c>
      <c r="D103" t="str">
        <f>Results!E102</f>
        <v>Winner Match 99</v>
      </c>
      <c r="G103" t="str">
        <f>Results!H102</f>
        <v>Winner Match 100</v>
      </c>
      <c r="H103">
        <f t="shared" si="1"/>
        <v>0</v>
      </c>
      <c r="I103">
        <f>if(Results!I102="-",0,IF(OR(AND(H103&gt;0,Results!J102&gt;0),AND(H103&lt;0,Results!J102&lt;0),AND(H103=0,Results!J102=0)),1,0))</f>
        <v>0</v>
      </c>
      <c r="J103">
        <f>IF(K103="-",0,if(K103=Results!I102,3,0))</f>
        <v>0</v>
      </c>
      <c r="K103" t="str">
        <f t="shared" si="2"/>
        <v>-</v>
      </c>
      <c r="L103">
        <f t="shared" si="3"/>
        <v>0</v>
      </c>
    </row>
    <row r="104">
      <c r="A104">
        <f>Results!A103</f>
        <v>7</v>
      </c>
      <c r="B104" s="14">
        <f>Results!B103</f>
        <v>46221</v>
      </c>
      <c r="C104" s="15">
        <f>Results!C103</f>
        <v>0.8333333333</v>
      </c>
      <c r="D104" t="str">
        <f>Results!E103</f>
        <v>Loser Match 101</v>
      </c>
      <c r="G104" t="str">
        <f>Results!H103</f>
        <v>Loser Match 102</v>
      </c>
      <c r="H104">
        <f t="shared" si="1"/>
        <v>0</v>
      </c>
      <c r="I104">
        <f>if(Results!I103="-",0,IF(OR(AND(H104&gt;0,Results!J103&gt;0),AND(H104&lt;0,Results!J103&lt;0),AND(H104=0,Results!J103=0)),1,0))</f>
        <v>0</v>
      </c>
      <c r="J104">
        <f>IF(K104="-",0,if(K104=Results!I103,3,0))</f>
        <v>0</v>
      </c>
      <c r="K104" t="str">
        <f t="shared" si="2"/>
        <v>-</v>
      </c>
      <c r="L104">
        <f t="shared" si="3"/>
        <v>0</v>
      </c>
    </row>
    <row r="105">
      <c r="A105">
        <f>Results!A104</f>
        <v>1</v>
      </c>
      <c r="B105" s="14">
        <f>Results!B104</f>
        <v>46222</v>
      </c>
      <c r="C105" s="15">
        <f>Results!C104</f>
        <v>0.8333333333</v>
      </c>
      <c r="D105" t="str">
        <f>Results!E104</f>
        <v>Winner Match 101</v>
      </c>
      <c r="G105" t="str">
        <f>Results!H104</f>
        <v>Winner Match 102</v>
      </c>
      <c r="H105">
        <f t="shared" si="1"/>
        <v>0</v>
      </c>
      <c r="I105">
        <f>if(Results!I104="-",0,IF(OR(AND(H105&gt;0,Results!J104&gt;0),AND(H105&lt;0,Results!J104&lt;0),AND(H105=0,Results!J104=0)),1,0))</f>
        <v>0</v>
      </c>
      <c r="J105">
        <f>IF(K105="-",0,if(K105=Results!I104,3,0))</f>
        <v>0</v>
      </c>
      <c r="K105" t="str">
        <f t="shared" si="2"/>
        <v>-</v>
      </c>
      <c r="L105">
        <f t="shared" si="3"/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4" width="20.88"/>
    <col customWidth="1" min="5" max="7" width="20.13"/>
    <col customWidth="1" min="8" max="8" width="42.5"/>
  </cols>
  <sheetData>
    <row r="1" ht="66.75" customHeight="1">
      <c r="A1" s="17" t="s">
        <v>0</v>
      </c>
      <c r="B1" s="18" t="s">
        <v>166</v>
      </c>
      <c r="C1" s="18" t="s">
        <v>167</v>
      </c>
      <c r="D1" s="18" t="s">
        <v>168</v>
      </c>
      <c r="E1" s="18" t="s">
        <v>169</v>
      </c>
      <c r="F1" s="18" t="s">
        <v>170</v>
      </c>
      <c r="G1" s="18" t="s">
        <v>171</v>
      </c>
    </row>
    <row r="2">
      <c r="A2" s="2" t="s">
        <v>8</v>
      </c>
      <c r="B2" s="19">
        <f>SUM(Garret!L2:AE73)</f>
        <v>20</v>
      </c>
      <c r="C2" s="19">
        <f>SUM(Garret!L74:L89)</f>
        <v>0</v>
      </c>
      <c r="D2" s="19">
        <f>SUM(Garret!L90:L97)</f>
        <v>0</v>
      </c>
      <c r="E2" s="19">
        <f>SUM(Garret!M98:M101)</f>
        <v>0</v>
      </c>
      <c r="F2" s="19">
        <f>SUM(Garret!L102:L105)</f>
        <v>0</v>
      </c>
      <c r="G2" s="19">
        <f t="shared" ref="G2:G8" si="1">SUM(B2:F2)</f>
        <v>20</v>
      </c>
    </row>
    <row r="3">
      <c r="A3" s="2" t="s">
        <v>3</v>
      </c>
      <c r="B3" s="19">
        <f>SUM(Daithi!L2:L73)</f>
        <v>27</v>
      </c>
      <c r="C3" s="19">
        <f>SUM(Daithi!L74:L89)</f>
        <v>0</v>
      </c>
      <c r="D3" s="19">
        <f>SUM(Daithi!L90:L97)</f>
        <v>0</v>
      </c>
      <c r="E3" s="19">
        <f>SUM(Daithi!M98:M101)</f>
        <v>0</v>
      </c>
      <c r="F3" s="19">
        <f>SUM(Daithi!L102:L105)</f>
        <v>0</v>
      </c>
      <c r="G3" s="19">
        <f t="shared" si="1"/>
        <v>27</v>
      </c>
    </row>
    <row r="4">
      <c r="A4" s="2" t="s">
        <v>6</v>
      </c>
      <c r="B4" s="19">
        <f>SUM(Kian!L2:L73)</f>
        <v>25</v>
      </c>
      <c r="C4" s="19">
        <f>SUM(Kian!L74:L89)</f>
        <v>0</v>
      </c>
      <c r="D4" s="19">
        <f>SUM(Kian!L90:L97)</f>
        <v>0</v>
      </c>
      <c r="E4" s="19">
        <f>SUM(Kian!M98:M101)</f>
        <v>0</v>
      </c>
      <c r="F4" s="19">
        <f>SUM(Kian!L102:L105)</f>
        <v>0</v>
      </c>
      <c r="G4" s="19">
        <f t="shared" si="1"/>
        <v>25</v>
      </c>
    </row>
    <row r="5">
      <c r="A5" s="2" t="s">
        <v>172</v>
      </c>
      <c r="B5" s="19">
        <f>SUM(Mac!L2:L73)</f>
        <v>24</v>
      </c>
      <c r="C5" s="19">
        <f>SUM(Mac!L74:L89)</f>
        <v>0</v>
      </c>
      <c r="D5" s="19">
        <f>SUM(Mac!L90:L97)</f>
        <v>0</v>
      </c>
      <c r="E5" s="19">
        <f>SUM(Mac!M98:M101)</f>
        <v>0</v>
      </c>
      <c r="F5" s="19">
        <f>SUM(Mac!L102:L105)</f>
        <v>0</v>
      </c>
      <c r="G5" s="19">
        <f t="shared" si="1"/>
        <v>24</v>
      </c>
    </row>
    <row r="6">
      <c r="A6" s="2" t="s">
        <v>9</v>
      </c>
      <c r="B6" s="19">
        <f>SUM(Reddy!L2:L73)</f>
        <v>19</v>
      </c>
      <c r="C6" s="19">
        <f>SUM(Reddy!L74:L89)</f>
        <v>0</v>
      </c>
      <c r="D6" s="19">
        <f>SUM(Reddy!L90:L97)</f>
        <v>0</v>
      </c>
      <c r="E6" s="19">
        <f>SUM(Reddy!M98:M101)</f>
        <v>0</v>
      </c>
      <c r="F6" s="19">
        <f>SUM(Reddy!L102:L105)</f>
        <v>0</v>
      </c>
      <c r="G6" s="19">
        <f t="shared" si="1"/>
        <v>19</v>
      </c>
    </row>
    <row r="7">
      <c r="A7" s="2" t="s">
        <v>4</v>
      </c>
      <c r="B7" s="19">
        <f>SUM(Mick!L2:L73)</f>
        <v>26</v>
      </c>
      <c r="C7" s="19">
        <f>SUM(Mick!L74:L89)</f>
        <v>0</v>
      </c>
      <c r="D7" s="19">
        <f>SUM(Mick!L90:L97)</f>
        <v>0</v>
      </c>
      <c r="E7" s="19">
        <f>SUM(Mick!M98:M101)</f>
        <v>0</v>
      </c>
      <c r="F7" s="19">
        <f>SUM(Mick!L102:L105)</f>
        <v>0</v>
      </c>
      <c r="G7" s="19">
        <f t="shared" si="1"/>
        <v>26</v>
      </c>
    </row>
    <row r="8">
      <c r="A8" s="2" t="s">
        <v>5</v>
      </c>
      <c r="B8" s="19">
        <f>SUM(Owen!L2:L73)</f>
        <v>25</v>
      </c>
      <c r="C8" s="19">
        <f>SUM(Owen!L74:L89)</f>
        <v>0</v>
      </c>
      <c r="D8" s="19">
        <f>SUM(Owen!L90:L97)</f>
        <v>0</v>
      </c>
      <c r="E8" s="19">
        <f>SUM(Owen!M98:M101)</f>
        <v>0</v>
      </c>
      <c r="F8" s="19">
        <f>SUM(Owen!L102:L105)</f>
        <v>0</v>
      </c>
      <c r="G8" s="19">
        <f t="shared" si="1"/>
        <v>25</v>
      </c>
    </row>
    <row r="9">
      <c r="A9" s="2"/>
      <c r="B9" s="19"/>
      <c r="C9" s="19"/>
      <c r="D9" s="19"/>
      <c r="E9" s="19"/>
      <c r="F9" s="19"/>
      <c r="G9" s="19"/>
    </row>
  </sheetData>
  <autoFilter ref="$A$1:$AE$9">
    <sortState ref="A1:AE9">
      <sortCondition descending="1" ref="G1:G9"/>
      <sortCondition descending="1" ref="F1:F9"/>
    </sortState>
  </autoFilter>
  <conditionalFormatting sqref="B2:B8">
    <cfRule type="colorScale" priority="1">
      <colorScale>
        <cfvo type="min"/>
        <cfvo type="max"/>
        <color rgb="FFFFFFFF"/>
        <color rgb="FF57BB8A"/>
      </colorScale>
    </cfRule>
  </conditionalFormatting>
  <conditionalFormatting sqref="C2:C8">
    <cfRule type="colorScale" priority="2">
      <colorScale>
        <cfvo type="min"/>
        <cfvo type="max"/>
        <color rgb="FFFFFFFF"/>
        <color rgb="FF57BB8A"/>
      </colorScale>
    </cfRule>
  </conditionalFormatting>
  <conditionalFormatting sqref="D2:E8">
    <cfRule type="colorScale" priority="3">
      <colorScale>
        <cfvo type="min"/>
        <cfvo type="max"/>
        <color rgb="FFFFFFFF"/>
        <color rgb="FF57BB8A"/>
      </colorScale>
    </cfRule>
  </conditionalFormatting>
  <conditionalFormatting sqref="E2:F8">
    <cfRule type="colorScale" priority="4">
      <colorScale>
        <cfvo type="min"/>
        <cfvo type="max"/>
        <color rgb="FFFFFFFF"/>
        <color rgb="FF57BB8A"/>
      </colorScale>
    </cfRule>
  </conditionalFormatting>
  <drawing r:id="rId1"/>
</worksheet>
</file>